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yan\Documents\GitHub\Formula_1\data\Formula_1\"/>
    </mc:Choice>
  </mc:AlternateContent>
  <xr:revisionPtr revIDLastSave="0" documentId="13_ncr:1_{38265FB3-C1B3-4229-A2D0-956DF1FE1822}" xr6:coauthVersionLast="47" xr6:coauthVersionMax="47" xr10:uidLastSave="{00000000-0000-0000-0000-000000000000}"/>
  <bookViews>
    <workbookView xWindow="-108" yWindow="-108" windowWidth="23256" windowHeight="12456" tabRatio="584" xr2:uid="{00000000-000D-0000-FFFF-FFFF00000000}"/>
  </bookViews>
  <sheets>
    <sheet name="Drivers" sheetId="1" r:id="rId1"/>
    <sheet name="Track_Details" sheetId="2" r:id="rId2"/>
    <sheet name="Track_Log" sheetId="3" r:id="rId3"/>
    <sheet name="Times" sheetId="7" r:id="rId4"/>
    <sheet name="Constructor_Log" sheetId="5" r:id="rId5"/>
    <sheet name="Constructor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7" l="1"/>
  <c r="D23" i="7"/>
  <c r="C24" i="7"/>
  <c r="D24" i="7"/>
  <c r="AC13" i="7"/>
  <c r="B3" i="7" a="1"/>
  <c r="B3" i="7" s="1"/>
  <c r="B4" i="7" a="1"/>
  <c r="B4" i="7" s="1"/>
  <c r="B5" i="7" a="1"/>
  <c r="B5" i="7" s="1"/>
  <c r="B6" i="7" a="1"/>
  <c r="B6" i="7" s="1"/>
  <c r="B7" i="7" a="1"/>
  <c r="B7" i="7" s="1"/>
  <c r="B8" i="7" a="1"/>
  <c r="B8" i="7" s="1"/>
  <c r="B9" i="7" a="1"/>
  <c r="B9" i="7" s="1"/>
  <c r="B10" i="7" a="1"/>
  <c r="B10" i="7" s="1"/>
  <c r="B11" i="7" a="1"/>
  <c r="B11" i="7" s="1"/>
  <c r="B12" i="7" a="1"/>
  <c r="B12" i="7" s="1"/>
  <c r="B13" i="7" a="1"/>
  <c r="B13" i="7" s="1"/>
  <c r="B14" i="7" a="1"/>
  <c r="B14" i="7" s="1"/>
  <c r="B15" i="7" a="1"/>
  <c r="B15" i="7" s="1"/>
  <c r="B16" i="7" a="1"/>
  <c r="B16" i="7" s="1"/>
  <c r="B17" i="7" a="1"/>
  <c r="B17" i="7" s="1"/>
  <c r="B18" i="7" a="1"/>
  <c r="B18" i="7" s="1"/>
  <c r="B19" i="7" a="1"/>
  <c r="B19" i="7" s="1"/>
  <c r="B20" i="7" a="1"/>
  <c r="B20" i="7" s="1"/>
  <c r="B21" i="7" a="1"/>
  <c r="B21" i="7" s="1"/>
  <c r="B22" i="7" a="1"/>
  <c r="B22" i="7" s="1"/>
  <c r="B23" i="7" a="1"/>
  <c r="B23" i="7" s="1"/>
  <c r="B24" i="7" a="1"/>
  <c r="B24" i="7" s="1"/>
  <c r="B27" i="7" a="1"/>
  <c r="B27" i="7" s="1"/>
  <c r="B28" i="7" a="1"/>
  <c r="B28" i="7" s="1"/>
  <c r="B29" i="7" a="1"/>
  <c r="B29" i="7" s="1"/>
  <c r="B30" i="7" a="1"/>
  <c r="B30" i="7" s="1"/>
  <c r="B31" i="7" a="1"/>
  <c r="B31" i="7" s="1"/>
  <c r="B32" i="7" a="1"/>
  <c r="B32" i="7" s="1"/>
  <c r="B33" i="7" a="1"/>
  <c r="B33" i="7" s="1"/>
  <c r="B34" i="7" a="1"/>
  <c r="B34" i="7" s="1"/>
  <c r="B35" i="7" a="1"/>
  <c r="B35" i="7" s="1"/>
  <c r="B36" i="7" a="1"/>
  <c r="B36" i="7" s="1"/>
  <c r="B37" i="7" a="1"/>
  <c r="B37" i="7" s="1"/>
  <c r="B38" i="7" a="1"/>
  <c r="B38" i="7" s="1"/>
  <c r="B39" i="7" a="1"/>
  <c r="B39" i="7" s="1"/>
  <c r="B40" i="7" a="1"/>
  <c r="B40" i="7" s="1"/>
  <c r="B41" i="7" a="1"/>
  <c r="B41" i="7" s="1"/>
  <c r="B42" i="7" a="1"/>
  <c r="B42" i="7" s="1"/>
  <c r="B43" i="7" a="1"/>
  <c r="B43" i="7" s="1"/>
  <c r="B44" i="7" a="1"/>
  <c r="B44" i="7" s="1"/>
  <c r="B45" i="7" a="1"/>
  <c r="B45" i="7" s="1"/>
  <c r="B46" i="7" a="1"/>
  <c r="B46" i="7" s="1"/>
  <c r="B47" i="7" a="1"/>
  <c r="B47" i="7" s="1"/>
  <c r="B48" i="7" a="1"/>
  <c r="B48" i="7" s="1"/>
  <c r="A22" i="4"/>
  <c r="D47" i="7" s="1"/>
  <c r="A23" i="4"/>
  <c r="D48" i="7" s="1"/>
  <c r="B22" i="4"/>
  <c r="B22" i="5" s="1"/>
  <c r="B23" i="4"/>
  <c r="B23" i="5" s="1"/>
  <c r="C25" i="7"/>
  <c r="D25" i="7"/>
  <c r="A20" i="4"/>
  <c r="D45" i="7" s="1"/>
  <c r="B20" i="4"/>
  <c r="B20" i="5" s="1"/>
  <c r="A21" i="4"/>
  <c r="D22" i="7" s="1"/>
  <c r="B21" i="4"/>
  <c r="C22" i="7" s="1"/>
  <c r="A3" i="4"/>
  <c r="D28" i="7" s="1"/>
  <c r="A4" i="4"/>
  <c r="D5" i="7" s="1"/>
  <c r="A5" i="4"/>
  <c r="D30" i="7" s="1"/>
  <c r="A6" i="4"/>
  <c r="D31" i="7" s="1"/>
  <c r="A7" i="4"/>
  <c r="D32" i="7" s="1"/>
  <c r="A8" i="4"/>
  <c r="D33" i="7" s="1"/>
  <c r="A9" i="4"/>
  <c r="D34" i="7" s="1"/>
  <c r="A10" i="4"/>
  <c r="D11" i="7" s="1"/>
  <c r="A11" i="4"/>
  <c r="D12" i="7" s="1"/>
  <c r="A12" i="4"/>
  <c r="D13" i="7" s="1"/>
  <c r="A13" i="4"/>
  <c r="D14" i="7" s="1"/>
  <c r="A14" i="4"/>
  <c r="D39" i="7" s="1"/>
  <c r="A15" i="4"/>
  <c r="D40" i="7" s="1"/>
  <c r="A16" i="4"/>
  <c r="D17" i="7" s="1"/>
  <c r="A17" i="4"/>
  <c r="D42" i="7" s="1"/>
  <c r="A18" i="4"/>
  <c r="D19" i="7" s="1"/>
  <c r="A19" i="4"/>
  <c r="D44" i="7" s="1"/>
  <c r="A2" i="4"/>
  <c r="D27" i="7" s="1"/>
  <c r="B3" i="4"/>
  <c r="C4" i="7" s="1"/>
  <c r="B4" i="4"/>
  <c r="C5" i="7" s="1"/>
  <c r="B5" i="4"/>
  <c r="C6" i="7" s="1"/>
  <c r="B6" i="4"/>
  <c r="C7" i="7" s="1"/>
  <c r="B7" i="4"/>
  <c r="B7" i="5" s="1"/>
  <c r="B8" i="4"/>
  <c r="B8" i="5" s="1"/>
  <c r="B9" i="4"/>
  <c r="C10" i="7" s="1"/>
  <c r="B10" i="4"/>
  <c r="B10" i="5" s="1"/>
  <c r="B11" i="4"/>
  <c r="B11" i="5" s="1"/>
  <c r="B12" i="4"/>
  <c r="B12" i="5" s="1"/>
  <c r="B13" i="4"/>
  <c r="C14" i="7" s="1"/>
  <c r="B14" i="4"/>
  <c r="B14" i="5" s="1"/>
  <c r="B15" i="4"/>
  <c r="C40" i="7" s="1"/>
  <c r="B16" i="4"/>
  <c r="B16" i="5" s="1"/>
  <c r="B17" i="4"/>
  <c r="C42" i="7" s="1"/>
  <c r="B18" i="4"/>
  <c r="C43" i="7" s="1"/>
  <c r="B19" i="4"/>
  <c r="C20" i="7" s="1"/>
  <c r="B2" i="4"/>
  <c r="C3" i="7" s="1"/>
  <c r="D10" i="7" l="1"/>
  <c r="D20" i="7"/>
  <c r="D6" i="7"/>
  <c r="D41" i="7"/>
  <c r="C37" i="7"/>
  <c r="D18" i="7"/>
  <c r="B17" i="5"/>
  <c r="D8" i="7"/>
  <c r="D46" i="7"/>
  <c r="C12" i="7"/>
  <c r="D43" i="7"/>
  <c r="D29" i="7"/>
  <c r="C46" i="7"/>
  <c r="C15" i="7"/>
  <c r="C21" i="7"/>
  <c r="C17" i="7"/>
  <c r="B15" i="5"/>
  <c r="C16" i="7"/>
  <c r="B21" i="5"/>
  <c r="C45" i="7"/>
  <c r="C48" i="7"/>
  <c r="C47" i="7"/>
  <c r="B19" i="5"/>
  <c r="C41" i="7"/>
  <c r="C27" i="7"/>
  <c r="C13" i="7"/>
  <c r="B5" i="5"/>
  <c r="D9" i="7"/>
  <c r="C30" i="7"/>
  <c r="B6" i="5"/>
  <c r="B13" i="5"/>
  <c r="C44" i="7"/>
  <c r="D15" i="7"/>
  <c r="D16" i="7"/>
  <c r="D38" i="7"/>
  <c r="D21" i="7"/>
  <c r="C38" i="7"/>
  <c r="C36" i="7"/>
  <c r="B2" i="5"/>
  <c r="B9" i="5"/>
  <c r="B4" i="5"/>
  <c r="C33" i="7"/>
  <c r="D7" i="7"/>
  <c r="C31" i="7"/>
  <c r="B3" i="5"/>
  <c r="C9" i="7"/>
  <c r="C11" i="7"/>
  <c r="C32" i="7"/>
  <c r="D3" i="7"/>
  <c r="C29" i="7"/>
  <c r="C28" i="7"/>
  <c r="B18" i="5"/>
  <c r="C39" i="7"/>
  <c r="D4" i="7"/>
  <c r="C35" i="7"/>
  <c r="C18" i="7"/>
  <c r="C8" i="7"/>
  <c r="D35" i="7"/>
  <c r="C19" i="7"/>
  <c r="D37" i="7"/>
  <c r="C34" i="7"/>
  <c r="D3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<sst xmlns="http://schemas.openxmlformats.org/spreadsheetml/2006/main" count="558" uniqueCount="186">
  <si>
    <t>Name</t>
  </si>
  <si>
    <t>Team</t>
  </si>
  <si>
    <t>Number</t>
  </si>
  <si>
    <t>Start</t>
  </si>
  <si>
    <t>End</t>
  </si>
  <si>
    <t>Country</t>
  </si>
  <si>
    <t>Location</t>
  </si>
  <si>
    <t>Distance</t>
  </si>
  <si>
    <t>Fastest Time</t>
  </si>
  <si>
    <t>Driver</t>
  </si>
  <si>
    <t>Team Name</t>
  </si>
  <si>
    <t>Engine/Power Unit</t>
  </si>
  <si>
    <t>Chassis</t>
  </si>
  <si>
    <t>Constructor</t>
  </si>
  <si>
    <t>Race</t>
  </si>
  <si>
    <t>McLaren-Mercedes</t>
  </si>
  <si>
    <t>Ferrari</t>
  </si>
  <si>
    <t>Mercedes</t>
  </si>
  <si>
    <t>Pierre Gasly</t>
  </si>
  <si>
    <t>Fernando Alonso</t>
  </si>
  <si>
    <t>Lance Stroll</t>
  </si>
  <si>
    <t>Charles Leclerc</t>
  </si>
  <si>
    <t>Lewis Hamilton</t>
  </si>
  <si>
    <t>Esteban Ocon</t>
  </si>
  <si>
    <t>Oliver Bearman</t>
  </si>
  <si>
    <t>Gabriel Bortoleto</t>
  </si>
  <si>
    <t>Nico Hülkenberg</t>
  </si>
  <si>
    <t>Lando Norris</t>
  </si>
  <si>
    <t>Oscar Piastri</t>
  </si>
  <si>
    <t>George Russell</t>
  </si>
  <si>
    <t>Isack Hadjar</t>
  </si>
  <si>
    <t>Max Verstappen</t>
  </si>
  <si>
    <t>Liam Lawson</t>
  </si>
  <si>
    <t>Alexander Albon</t>
  </si>
  <si>
    <t>Carlos Sainz Jr.</t>
  </si>
  <si>
    <t>Haas-Ferrari</t>
  </si>
  <si>
    <t>Albert Park Circuit</t>
  </si>
  <si>
    <t xml:space="preserve"> Melbourne</t>
  </si>
  <si>
    <t>Shanghai International Circuit</t>
  </si>
  <si>
    <t xml:space="preserve"> Shanghai</t>
  </si>
  <si>
    <t>Suzuka International Racing Course</t>
  </si>
  <si>
    <t xml:space="preserve"> Suzuka</t>
  </si>
  <si>
    <t>Bahrain International Circuit</t>
  </si>
  <si>
    <t xml:space="preserve"> Sakhir</t>
  </si>
  <si>
    <t>Jeddah Corniche Circuit</t>
  </si>
  <si>
    <t xml:space="preserve"> Jeddah</t>
  </si>
  <si>
    <t>Miami International Autodrome</t>
  </si>
  <si>
    <t>Imola Circuit</t>
  </si>
  <si>
    <t xml:space="preserve"> Imola</t>
  </si>
  <si>
    <t>Circuit de Monaco</t>
  </si>
  <si>
    <t xml:space="preserve"> Monaco</t>
  </si>
  <si>
    <t>Circuit de Barcelona-Catalunya</t>
  </si>
  <si>
    <t xml:space="preserve"> Montmeló</t>
  </si>
  <si>
    <t>Circuit Gilles Villeneuve</t>
  </si>
  <si>
    <t xml:space="preserve"> Montreal</t>
  </si>
  <si>
    <t>Red Bull Ring</t>
  </si>
  <si>
    <t xml:space="preserve"> Spielberg</t>
  </si>
  <si>
    <t>Silverstone Circuit</t>
  </si>
  <si>
    <t xml:space="preserve"> Silverstone</t>
  </si>
  <si>
    <t>Circuit de Spa-Francorchamps</t>
  </si>
  <si>
    <t xml:space="preserve"> Stavelot</t>
  </si>
  <si>
    <t>Hungaroring</t>
  </si>
  <si>
    <t xml:space="preserve"> Mogyoród</t>
  </si>
  <si>
    <t>Circuit Zandvoort</t>
  </si>
  <si>
    <t xml:space="preserve"> Zandvoort</t>
  </si>
  <si>
    <t>Monza Circuit</t>
  </si>
  <si>
    <t xml:space="preserve"> Monza</t>
  </si>
  <si>
    <t>Baku City Circuit</t>
  </si>
  <si>
    <t xml:space="preserve"> Baku</t>
  </si>
  <si>
    <t>Marina Bay Street Circuit</t>
  </si>
  <si>
    <t xml:space="preserve"> Singapore</t>
  </si>
  <si>
    <t>Circuit of the Americas</t>
  </si>
  <si>
    <t>Autódromo Hermanos Rodríguez</t>
  </si>
  <si>
    <t xml:space="preserve"> Mexico City</t>
  </si>
  <si>
    <t>Interlagos Circuit</t>
  </si>
  <si>
    <t xml:space="preserve"> São Paulo</t>
  </si>
  <si>
    <t>Las Vegas Strip Circuit</t>
  </si>
  <si>
    <t>Lusail International Circuit</t>
  </si>
  <si>
    <t xml:space="preserve"> Lusail</t>
  </si>
  <si>
    <t>Yas Marina Circuit</t>
  </si>
  <si>
    <t xml:space="preserve"> Abu Dhabi</t>
  </si>
  <si>
    <t xml:space="preserve"> Miami Gardens, Florida</t>
  </si>
  <si>
    <t xml:space="preserve"> Austin Texas</t>
  </si>
  <si>
    <t xml:space="preserve"> Paradise Nevada</t>
  </si>
  <si>
    <t>Race Date</t>
  </si>
  <si>
    <t>Race Name</t>
  </si>
  <si>
    <t>Australian Grand Prix</t>
  </si>
  <si>
    <t>Chinese Grand Prix</t>
  </si>
  <si>
    <t>Japanese Grand Prix</t>
  </si>
  <si>
    <t>Bahrain Grand Prix</t>
  </si>
  <si>
    <t>Saudi Arabian Grand Prix</t>
  </si>
  <si>
    <t>Miami Grand Prix</t>
  </si>
  <si>
    <t>Emilia Romagna Grand Prix</t>
  </si>
  <si>
    <t>Monaco Grand Prix</t>
  </si>
  <si>
    <t>Spanish Grand Prix</t>
  </si>
  <si>
    <t>Canadian Grand Prix</t>
  </si>
  <si>
    <t>Austrian Grand Prix</t>
  </si>
  <si>
    <t>British Grand Prix</t>
  </si>
  <si>
    <t>Belgian Grand Prix</t>
  </si>
  <si>
    <t>Hungarian Grand Prix</t>
  </si>
  <si>
    <t>Dutch Grand Prix</t>
  </si>
  <si>
    <t>Italian Grand Prix</t>
  </si>
  <si>
    <t>Azerbaijan Grand Prix</t>
  </si>
  <si>
    <t>Singapore Grand Prix</t>
  </si>
  <si>
    <t>United States Grand Prix</t>
  </si>
  <si>
    <t>Mexico City Grand Prix</t>
  </si>
  <si>
    <t>São Paulo Grand Prix</t>
  </si>
  <si>
    <t>Las Vegas Grand Prix</t>
  </si>
  <si>
    <t>Qatar Grand Prix</t>
  </si>
  <si>
    <t>Abu Dhabi Grand Prix</t>
  </si>
  <si>
    <t>Circuit Name</t>
  </si>
  <si>
    <t>1</t>
  </si>
  <si>
    <t>2</t>
  </si>
  <si>
    <t>3</t>
  </si>
  <si>
    <t>Now your table is fully detailed! Let me know if you need any tweaks.</t>
  </si>
  <si>
    <t>Carlos Sainz</t>
  </si>
  <si>
    <t>Nico Hulkenberg</t>
  </si>
  <si>
    <t>Sergio Pérez</t>
  </si>
  <si>
    <t>Kimi Antonelli</t>
  </si>
  <si>
    <t>Arvid Lindblad</t>
  </si>
  <si>
    <t>Franco Colapinto</t>
  </si>
  <si>
    <t>Valtteri Bottas</t>
  </si>
  <si>
    <t>Qual</t>
  </si>
  <si>
    <t>Audi</t>
  </si>
  <si>
    <t>Alpine-Mercedes</t>
  </si>
  <si>
    <t>Aston Martin Aramco-Honda</t>
  </si>
  <si>
    <t>Atlassian Williams-Mercedes</t>
  </si>
  <si>
    <t>Cadillac-Ferrari</t>
  </si>
  <si>
    <t>Racing Bulls-Red Bull Ford</t>
  </si>
  <si>
    <t>Red Bull Racing-Red Bull Ford</t>
  </si>
  <si>
    <t>France BWT Alpine F1 Team</t>
  </si>
  <si>
    <t>A526</t>
  </si>
  <si>
    <t>Mercedes-AMG F1 M17</t>
  </si>
  <si>
    <t>United Kingdom Aston Martin Aramco F1 Team</t>
  </si>
  <si>
    <t>AMR26</t>
  </si>
  <si>
    <t>Honda RA626H</t>
  </si>
  <si>
    <t>United Kingdom Atlassian Williams F1 Team</t>
  </si>
  <si>
    <t>FW48</t>
  </si>
  <si>
    <t>Germany Audi Revolut F1 Team</t>
  </si>
  <si>
    <t>R26</t>
  </si>
  <si>
    <t>Audi AFR 26 Hybrid</t>
  </si>
  <si>
    <t>United States Cadillac Formula 1 Team</t>
  </si>
  <si>
    <t>MAC-26</t>
  </si>
  <si>
    <t>Ferrari 067/6</t>
  </si>
  <si>
    <t>Italy Scuderia Ferrari HP</t>
  </si>
  <si>
    <t>SF-26</t>
  </si>
  <si>
    <t>United States TGR Haas F1 Team</t>
  </si>
  <si>
    <t>VF-26</t>
  </si>
  <si>
    <t>United Kingdom McLaren Mastercard F1 Team</t>
  </si>
  <si>
    <t>MCL40</t>
  </si>
  <si>
    <t>Germany Mercedes-AMG Petronas F1 Team</t>
  </si>
  <si>
    <t>F1 W17</t>
  </si>
  <si>
    <t>Italy Visa Cash App Racing Bulls F1 Team</t>
  </si>
  <si>
    <t>VCARB 03</t>
  </si>
  <si>
    <t>Red Bull Ford DM01</t>
  </si>
  <si>
    <t>Austria Oracle Red Bull Racing</t>
  </si>
  <si>
    <t>RB22</t>
  </si>
  <si>
    <t>Red Bull Ford DM01</t>
  </si>
  <si>
    <t>🇫🇷 France</t>
  </si>
  <si>
    <t>🇦🇷 Argentina</t>
  </si>
  <si>
    <t>🇪🇸 Spain</t>
  </si>
  <si>
    <t>🇨🇦 Canada</t>
  </si>
  <si>
    <t>🇹🇭 Thailand</t>
  </si>
  <si>
    <t>🇧🇷 Brazil</t>
  </si>
  <si>
    <t>🇩🇪 Germany</t>
  </si>
  <si>
    <t>🇲🇽 Mexico</t>
  </si>
  <si>
    <t>🇫🇮 Finland</t>
  </si>
  <si>
    <t>🇲🇨 Monaco</t>
  </si>
  <si>
    <t>🇬🇧 Great Britain</t>
  </si>
  <si>
    <t>🇦🇺 Australia</t>
  </si>
  <si>
    <t>🇮🇹 Italy</t>
  </si>
  <si>
    <t>🇳🇿 New Zealand</t>
  </si>
  <si>
    <t>🇳🇱 Netherlands</t>
  </si>
  <si>
    <t>DNS</t>
  </si>
  <si>
    <t>NC</t>
  </si>
  <si>
    <t>RET</t>
  </si>
  <si>
    <t>+2.974s</t>
  </si>
  <si>
    <t>+15.519s</t>
  </si>
  <si>
    <t>+16.144s</t>
  </si>
  <si>
    <t>+51.741s</t>
  </si>
  <si>
    <t>+54.617s</t>
  </si>
  <si>
    <t>+1 lap</t>
  </si>
  <si>
    <t>+2 laps</t>
  </si>
  <si>
    <t>+3 laps</t>
  </si>
  <si>
    <t>+15 laps</t>
  </si>
  <si>
    <t>DNF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</si>
</sst>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textRotation="90"/>
    </xf>
    <xf numFmtId="0" fontId="1" fillId="2" borderId="0" xfId="0" applyFont="1" applyFill="1" applyAlignment="1">
      <alignment vertical="center" textRotation="9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textRotation="90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/>
    <xf numFmtId="16" fontId="0" fillId="2" borderId="0" xfId="0" applyNumberFormat="1" applyFill="1" applyAlignment="1">
      <alignment horizontal="center" vertical="center"/>
    </xf>
    <xf numFmtId="47" fontId="3" fillId="2" borderId="0" xfId="0" applyNumberFormat="1" applyFont="1" applyFill="1" applyAlignment="1">
      <alignment horizontal="right" vertical="center"/>
    </xf>
    <xf numFmtId="16" fontId="0" fillId="2" borderId="0" xfId="0" applyNumberFormat="1" applyFill="1"/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/>
    </xf>
    <xf numFmtId="0" fontId="3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47" fontId="3" fillId="2" borderId="0" xfId="0" applyNumberFormat="1" applyFont="1" applyFill="1"/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49" fontId="2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/>
    <xf numFmtId="4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1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  <alignment horizontal="right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1" tint="0.14999847407452621"/>
        </patternFill>
      </fill>
      <alignment horizontal="right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color theme="0"/>
      </font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bottom" textRotation="9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bottom" textRotation="9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1" tint="0.14999847407452621"/>
        </patternFill>
      </fill>
    </dxf>
    <dxf>
      <numFmt numFmtId="0" formatCode="General"/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0" formatCode="General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0" formatCode="General"/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color theme="0"/>
      </font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1" tint="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1" tint="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bottom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0</xdr:colOff>
      <xdr:row>3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A0ACEDD-E878-46A6-966E-0EAF4006065D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20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3</xdr:row>
      <xdr:rowOff>0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96B1B5D-8DAC-4E91-9388-C307C76C9141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20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</xdr:row>
      <xdr:rowOff>0</xdr:rowOff>
    </xdr:from>
    <xdr:ext cx="304800" cy="30480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D1E7A83-9997-43F1-8AB8-0A13289556E7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220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4</xdr:row>
      <xdr:rowOff>0</xdr:rowOff>
    </xdr:from>
    <xdr:ext cx="304800" cy="30480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6A94367F-CB17-412E-A23C-6CAC7FB3151E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220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5</xdr:row>
      <xdr:rowOff>0</xdr:rowOff>
    </xdr:from>
    <xdr:ext cx="304800" cy="304800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2EEF872A-DA49-4297-AC92-D3EE7AA61EDC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2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5</xdr:row>
      <xdr:rowOff>0</xdr:rowOff>
    </xdr:from>
    <xdr:ext cx="304800" cy="304800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A6C174CC-A1C2-40F3-966E-51AB54A27EBB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2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304800" cy="304800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FDB38D0F-859B-47BB-8BDF-DCA70BDBC0A4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25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304800" cy="304800"/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CE14467F-8B06-4489-865A-1429F7AAFAB6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25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7</xdr:row>
      <xdr:rowOff>0</xdr:rowOff>
    </xdr:from>
    <xdr:ext cx="304800" cy="304800"/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83F2F6E-80AF-4DA5-9723-5D952B8B7DF9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7</xdr:row>
      <xdr:rowOff>0</xdr:rowOff>
    </xdr:from>
    <xdr:ext cx="304800" cy="304800"/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3C369D42-488E-4E64-A481-E8B5A25F5464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8</xdr:row>
      <xdr:rowOff>0</xdr:rowOff>
    </xdr:from>
    <xdr:ext cx="304800" cy="304800"/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A2A675FD-896D-4133-84BA-3926627742F9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8</xdr:row>
      <xdr:rowOff>0</xdr:rowOff>
    </xdr:from>
    <xdr:ext cx="304800" cy="304800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FC571A65-BE6A-47DD-9C30-A2C29C4E48EB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29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9</xdr:row>
      <xdr:rowOff>0</xdr:rowOff>
    </xdr:from>
    <xdr:ext cx="304800" cy="304800"/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7815708A-DDE6-4C50-8990-E03DAAF63F39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9</xdr:row>
      <xdr:rowOff>0</xdr:rowOff>
    </xdr:from>
    <xdr:ext cx="304800" cy="304800"/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B6064037-BABA-4837-914D-FB6F5A97C618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10</xdr:row>
      <xdr:rowOff>0</xdr:rowOff>
    </xdr:from>
    <xdr:ext cx="304800" cy="304800"/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3B5E8E0A-1D7E-470B-8E72-A2435AE16639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32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10</xdr:row>
      <xdr:rowOff>0</xdr:rowOff>
    </xdr:from>
    <xdr:ext cx="304800" cy="304800"/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97509078-3CA7-4365-9C61-0C715B67E8AA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32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11</xdr:row>
      <xdr:rowOff>0</xdr:rowOff>
    </xdr:from>
    <xdr:ext cx="304800" cy="304800"/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1AD324CF-9E38-485C-9E37-71C1C2940B2D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34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11</xdr:row>
      <xdr:rowOff>0</xdr:rowOff>
    </xdr:from>
    <xdr:ext cx="304800" cy="304800"/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4FFB1B6E-24A5-426C-901B-B8D168953FC7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34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12</xdr:row>
      <xdr:rowOff>0</xdr:rowOff>
    </xdr:from>
    <xdr:ext cx="304800" cy="304800"/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8F9B97B6-474C-429C-990E-11D991DC0002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36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12</xdr:row>
      <xdr:rowOff>0</xdr:rowOff>
    </xdr:from>
    <xdr:ext cx="304800" cy="304800"/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03F74104-C295-4A6D-8E35-9BFB204B5699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36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13</xdr:row>
      <xdr:rowOff>0</xdr:rowOff>
    </xdr:from>
    <xdr:ext cx="304800" cy="304800"/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B10E407E-F510-48AA-A885-7DE21A248E65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38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13</xdr:row>
      <xdr:rowOff>0</xdr:rowOff>
    </xdr:from>
    <xdr:ext cx="304800" cy="304800"/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29FFF735-B85B-401C-B6EA-A719FCB32B75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38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14</xdr:row>
      <xdr:rowOff>0</xdr:rowOff>
    </xdr:from>
    <xdr:ext cx="304800" cy="304800"/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522B9935-5394-440E-8851-0F5BC33E1011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40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14</xdr:row>
      <xdr:rowOff>0</xdr:rowOff>
    </xdr:from>
    <xdr:ext cx="304800" cy="304800"/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95239A48-F1BD-4A7F-BDA1-0089B6CC7894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40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15</xdr:row>
      <xdr:rowOff>0</xdr:rowOff>
    </xdr:from>
    <xdr:ext cx="304800" cy="304800"/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763F8BB0-5006-4F58-BEE3-268F78C98A55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15</xdr:row>
      <xdr:rowOff>0</xdr:rowOff>
    </xdr:from>
    <xdr:ext cx="304800" cy="304800"/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D611766B-15AE-43D1-B501-5B1F87BB19D2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16</xdr:row>
      <xdr:rowOff>0</xdr:rowOff>
    </xdr:from>
    <xdr:ext cx="304800" cy="304800"/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6F20D535-6652-41D9-A429-82F209B40140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16</xdr:row>
      <xdr:rowOff>0</xdr:rowOff>
    </xdr:from>
    <xdr:ext cx="304800" cy="304800"/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4FBEA1CF-5A43-4965-83F5-5A06E8CDC7D5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17</xdr:row>
      <xdr:rowOff>0</xdr:rowOff>
    </xdr:from>
    <xdr:ext cx="304800" cy="304800"/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BC150B7A-D988-4748-A06A-EA640A6B72A8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45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17</xdr:row>
      <xdr:rowOff>0</xdr:rowOff>
    </xdr:from>
    <xdr:ext cx="304800" cy="304800"/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F075D976-5F9A-4B69-95CE-CC661B5E3A7A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45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18</xdr:row>
      <xdr:rowOff>0</xdr:rowOff>
    </xdr:from>
    <xdr:ext cx="304800" cy="304800"/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62C3000A-4BD1-4998-A822-0D73278D6E8E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473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18</xdr:row>
      <xdr:rowOff>0</xdr:rowOff>
    </xdr:from>
    <xdr:ext cx="304800" cy="304800"/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7F15FBEE-3C66-46F2-86FA-24AD3BEF0751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473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19</xdr:row>
      <xdr:rowOff>0</xdr:rowOff>
    </xdr:from>
    <xdr:ext cx="304800" cy="304800"/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94BCCEDB-8203-49FB-B3BD-640E275024B8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19</xdr:row>
      <xdr:rowOff>0</xdr:rowOff>
    </xdr:from>
    <xdr:ext cx="304800" cy="304800"/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7968C541-A215-4F7E-9BC2-D33AB76634E8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20</xdr:row>
      <xdr:rowOff>0</xdr:rowOff>
    </xdr:from>
    <xdr:ext cx="304800" cy="304800"/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ACE34DBE-B06E-4F80-A7F0-917D4265B840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50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20</xdr:row>
      <xdr:rowOff>0</xdr:rowOff>
    </xdr:from>
    <xdr:ext cx="304800" cy="304800"/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A310DE7B-6E33-42DE-AB1D-D43A3CAAD8AB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50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21</xdr:row>
      <xdr:rowOff>0</xdr:rowOff>
    </xdr:from>
    <xdr:ext cx="304800" cy="304800"/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F5186543-EE74-455F-98C8-5F58241A46C7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52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21</xdr:row>
      <xdr:rowOff>0</xdr:rowOff>
    </xdr:from>
    <xdr:ext cx="304800" cy="304800"/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3770CFE0-7AE5-4189-AEB4-9ADBFEB84D64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52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22</xdr:row>
      <xdr:rowOff>0</xdr:rowOff>
    </xdr:from>
    <xdr:ext cx="304800" cy="304800"/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D666B441-9060-4CF5-9082-C208F6A3AD66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54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22</xdr:row>
      <xdr:rowOff>0</xdr:rowOff>
    </xdr:from>
    <xdr:ext cx="304800" cy="304800"/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AFC0513A-22EE-401F-89D8-DAE261DF5DE7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54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23</xdr:row>
      <xdr:rowOff>0</xdr:rowOff>
    </xdr:from>
    <xdr:ext cx="304800" cy="304800"/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D7691C21-4C02-46F6-A62A-F02D267C2B98}"/>
            </a:ext>
          </a:extLst>
        </xdr:cNvPr>
        <xdr:cNvSpPr>
          <a:spLocks noChangeAspect="1" noChangeArrowheads="1"/>
        </xdr:cNvSpPr>
      </xdr:nvSpPr>
      <xdr:spPr bwMode="auto">
        <a:xfrm>
          <a:off x="14458950" y="56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23</xdr:row>
      <xdr:rowOff>0</xdr:rowOff>
    </xdr:from>
    <xdr:ext cx="304800" cy="304800"/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B83AAD04-9455-4472-A100-AA668CE0EB7D}"/>
            </a:ext>
          </a:extLst>
        </xdr:cNvPr>
        <xdr:cNvSpPr>
          <a:spLocks noChangeAspect="1" noChangeArrowheads="1"/>
        </xdr:cNvSpPr>
      </xdr:nvSpPr>
      <xdr:spPr bwMode="auto">
        <a:xfrm>
          <a:off x="15068550" y="56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171726-5CF9-40B3-94E6-B2AFCA2134DB}" name="Table3" displayName="Table3" ref="B1:F23" totalsRowShown="0" headerRowDxfId="84" dataDxfId="83">
  <autoFilter ref="B1:F23" xr:uid="{4B171726-5CF9-40B3-94E6-B2AFCA2134DB}"/>
  <tableColumns count="5">
    <tableColumn id="1" xr3:uid="{92146AF8-CFF9-4D3A-91B4-9CC9F7F0289D}" name="Name" dataDxfId="82"/>
    <tableColumn id="2" xr3:uid="{7EE4C027-225E-49B2-8B95-07D077269830}" name="Team" dataDxfId="81"/>
    <tableColumn id="3" xr3:uid="{EB96D9FA-7CEA-42EF-ABF7-51E4E7D01475}" name="Number" dataDxfId="80"/>
    <tableColumn id="4" xr3:uid="{98E1A7EE-661C-45CE-822E-9854C47706AF}" name="Country" dataDxfId="79"/>
    <tableColumn id="5" xr3:uid="{DB605153-3E17-4802-AB05-2429688C9895}" name="Constructor" dataDxfId="78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F433B-E56B-4D70-88FE-7F39124D9319}" name="Table1" displayName="Table1" ref="B2:J26" totalsRowShown="0" headerRowDxfId="77" dataDxfId="76">
  <autoFilter ref="B2:J26" xr:uid="{628F433B-E56B-4D70-88FE-7F39124D9319}"/>
  <tableColumns count="9">
    <tableColumn id="1" xr3:uid="{6FFFFB14-66EC-4894-BC5C-904E91719C15}" name="Race Name" dataDxfId="75"/>
    <tableColumn id="2" xr3:uid="{A2C1729C-5A9F-4F3B-9D25-29460232C8BB}" name="Circuit Name" dataDxfId="74"/>
    <tableColumn id="3" xr3:uid="{CDE8E4A3-91F0-42E8-9535-50FE31EF16BE}" name="Location" dataDxfId="73"/>
    <tableColumn id="4" xr3:uid="{15A0D957-CB98-4793-9130-02DA6096C7EE}" name="Race Date" dataDxfId="72"/>
    <tableColumn id="5" xr3:uid="{5C322528-271F-4EDD-8D7B-6FAE995790B5}" name="Distance" dataDxfId="71"/>
    <tableColumn id="6" xr3:uid="{E39D53C2-53BA-4179-9C6E-AD4D5427D7C5}" name="Fastest Time" dataDxfId="70"/>
    <tableColumn id="7" xr3:uid="{61ABA8A6-ABC2-4008-93AA-C07FC2524B57}" name="1" dataDxfId="69"/>
    <tableColumn id="8" xr3:uid="{91B3BA5A-8F2D-45BB-B42E-FCE1231D8296}" name="2" dataDxfId="68"/>
    <tableColumn id="9" xr3:uid="{208C354C-D504-490A-9A6E-F1C70382A1BD}" name="3" dataDxfId="67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9B7447-5CAF-49A8-849A-24FFEF88E594}" name="Table4" displayName="Table4" ref="A1:Y48" totalsRowShown="0" headerRowDxfId="66" dataDxfId="65">
  <autoFilter ref="A1:Y48" xr:uid="{9C9B7447-5CAF-49A8-849A-24FFEF88E594}"/>
  <tableColumns count="25">
    <tableColumn id="1" xr3:uid="{CF33613A-B550-44CB-881B-6F14CACD5B72}" name="Driver" dataDxfId="64"/>
    <tableColumn id="3" xr3:uid="{64862BF4-56F0-4709-A8AB-C085BAF0215A}" name="Australian Grand Prix" dataDxfId="63"/>
    <tableColumn id="4" xr3:uid="{2D3377A0-58D7-467A-99BD-8DD5E5195992}" name="Chinese Grand Prix" dataDxfId="62"/>
    <tableColumn id="5" xr3:uid="{0ECE7874-3069-4E86-A858-526B2561A56E}" name="Japanese Grand Prix" dataDxfId="61"/>
    <tableColumn id="6" xr3:uid="{3332362F-E796-4D76-B72D-D37A9E8C4506}" name="Bahrain Grand Prix" dataDxfId="60"/>
    <tableColumn id="7" xr3:uid="{6A873417-5AFE-4D0F-88A9-6011AD971FED}" name="Saudi Arabian Grand Prix" dataDxfId="59"/>
    <tableColumn id="8" xr3:uid="{2384B2F0-E1B8-4D15-A86A-C506AC2DDE75}" name="Miami Grand Prix" dataDxfId="58"/>
    <tableColumn id="9" xr3:uid="{A4F6721E-F16D-4038-BD64-3E8A7D38B02F}" name="Emilia Romagna Grand Prix" dataDxfId="57"/>
    <tableColumn id="10" xr3:uid="{435C1CC1-7C35-4D05-B75A-E2D3EA9487F5}" name="Monaco Grand Prix" dataDxfId="56"/>
    <tableColumn id="11" xr3:uid="{7324DE86-EE77-4D97-944F-558B5246B501}" name="Spanish Grand Prix" dataDxfId="55"/>
    <tableColumn id="12" xr3:uid="{B0654BA4-C5FE-40FC-94D4-F2829B439C83}" name="Canadian Grand Prix" dataDxfId="54"/>
    <tableColumn id="13" xr3:uid="{40A2DB89-A1EF-4668-BB5F-0C8F41981CE9}" name="Austrian Grand Prix" dataDxfId="53"/>
    <tableColumn id="14" xr3:uid="{7E4C0B80-60BB-443B-B58C-2C484E838E2D}" name="British Grand Prix" dataDxfId="52"/>
    <tableColumn id="15" xr3:uid="{D7685E94-DED7-4922-8549-80717F6854B8}" name="Belgian Grand Prix" dataDxfId="51"/>
    <tableColumn id="16" xr3:uid="{E8B67644-354D-4320-AEE9-C7236B9F7A62}" name="Hungarian Grand Prix" dataDxfId="50"/>
    <tableColumn id="17" xr3:uid="{9744C7B8-818D-4DE8-B37D-EFBCC20F2D87}" name="Dutch Grand Prix" dataDxfId="49"/>
    <tableColumn id="18" xr3:uid="{EF67C45C-CAC1-4298-A58A-EEA09E9B8331}" name="Italian Grand Prix" dataDxfId="48"/>
    <tableColumn id="19" xr3:uid="{298F9D14-379A-45B8-8779-FD50639B978E}" name="Azerbaijan Grand Prix" dataDxfId="47"/>
    <tableColumn id="20" xr3:uid="{A88F8700-7FAE-4431-8633-EE182CD448DA}" name="Singapore Grand Prix" dataDxfId="46"/>
    <tableColumn id="21" xr3:uid="{EDA628AE-0844-4D1C-9A31-622106A74B74}" name="United States Grand Prix" dataDxfId="45"/>
    <tableColumn id="22" xr3:uid="{40DA2915-5603-475B-B8B3-83784AE5046E}" name="Mexico City Grand Prix" dataDxfId="44"/>
    <tableColumn id="23" xr3:uid="{46622AFA-DB78-4AE5-89D9-F1D3556D5A3D}" name="São Paulo Grand Prix" dataDxfId="43"/>
    <tableColumn id="24" xr3:uid="{3EC53053-E45B-44EE-AC6B-F7BB5EB7B9F5}" name="Las Vegas Grand Prix" dataDxfId="42"/>
    <tableColumn id="25" xr3:uid="{6F3819A8-BF88-4B0C-9F74-4EE092BA245E}" name="Qatar Grand Prix" dataDxfId="41"/>
    <tableColumn id="26" xr3:uid="{6A29A013-FF84-400E-8F74-E5A850484E6D}" name="Abu Dhabi Grand Prix" dataDxfId="40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3744FF-5353-4C30-A94F-CE2FC15CD0CD}" name="Table6" displayName="Table6" ref="A1:AB48" totalsRowShown="0" headerRowDxfId="109" dataDxfId="108">
  <autoFilter ref="A1:AB48" xr:uid="{AA3744FF-5353-4C30-A94F-CE2FC15CD0CD}"/>
  <tableColumns count="28">
    <tableColumn id="1" xr3:uid="{E278D08B-82F0-48D0-A658-DE818A33E0B8}" name="Driver" dataDxfId="3"/>
    <tableColumn id="28" xr3:uid="{79CEAB9E-3A8C-4DF1-9F9B-E93533E41FBB}" name="Number" dataDxfId="4">
      <calculatedColumnFormula array="1">_xlfn._xlws.FILTER(Drivers!D:D,Drivers!B:B=Table6[[#This Row],[Driver]],0)</calculatedColumnFormula>
    </tableColumn>
    <tableColumn id="2" xr3:uid="{00D7725B-DFFE-4C3A-ACCE-32C162A4E831}" name="Constructor" dataDxfId="107">
      <calculatedColumnFormula>_xlfn.XLOOKUP(A2,Constructor!$C$2:$C$23,Constructor!$B$2:$B$23,"")</calculatedColumnFormula>
    </tableColumn>
    <tableColumn id="3" xr3:uid="{8FDBF4AD-2961-4047-8F65-8E8ADEDC3502}" name="Team" dataDxfId="2">
      <calculatedColumnFormula>_xlfn.XLOOKUP(A2,Constructor!$C$2:$C$23,Constructor!$A$2:$A$23,"")</calculatedColumnFormula>
    </tableColumn>
    <tableColumn id="4" xr3:uid="{FEF76843-A12B-4494-995B-783FB04E6013}" name="Australian Grand Prix" dataDxfId="0"/>
    <tableColumn id="5" xr3:uid="{17071EA5-F41C-4EBD-94F0-1B51429AF44F}" name="Chinese Grand Prix" dataDxfId="1"/>
    <tableColumn id="6" xr3:uid="{F5001349-A1D5-43C9-97E1-9460CA742B63}" name="Japanese Grand Prix" dataDxfId="106"/>
    <tableColumn id="7" xr3:uid="{6D0913D3-24E1-4ACA-B912-74174373B813}" name="Bahrain Grand Prix" dataDxfId="105"/>
    <tableColumn id="8" xr3:uid="{E4C84672-BC98-4DF5-B9EE-8A8055F39F2D}" name="Saudi Arabian Grand Prix" dataDxfId="104"/>
    <tableColumn id="9" xr3:uid="{BB7D339C-688A-4E60-8767-047C06319E68}" name="Miami Grand Prix" dataDxfId="103"/>
    <tableColumn id="10" xr3:uid="{57075CE6-6548-4845-A50E-8AEFC61753A4}" name="Emilia Romagna Grand Prix" dataDxfId="102"/>
    <tableColumn id="11" xr3:uid="{EE6736F8-ADB5-4E71-B05F-97594B3B3472}" name="Monaco Grand Prix" dataDxfId="101"/>
    <tableColumn id="12" xr3:uid="{7968AD0F-F03C-43FE-9936-B9C133C05B68}" name="Spanish Grand Prix" dataDxfId="100"/>
    <tableColumn id="13" xr3:uid="{B8990854-8E63-4954-BB66-C62E6A969529}" name="Canadian Grand Prix" dataDxfId="99"/>
    <tableColumn id="14" xr3:uid="{0E25BBA9-F83B-4D7F-B1E2-448AE6406574}" name="Austrian Grand Prix" dataDxfId="98"/>
    <tableColumn id="15" xr3:uid="{AFBF197F-D2AA-4D23-9095-09D50B18B3F7}" name="British Grand Prix" dataDxfId="97"/>
    <tableColumn id="16" xr3:uid="{CF02CCED-BF33-4C52-A70B-20F8601C2B11}" name="Belgian Grand Prix" dataDxfId="96"/>
    <tableColumn id="17" xr3:uid="{7104019E-E290-4E2A-85C1-75D032C22FCE}" name="Hungarian Grand Prix" dataDxfId="95"/>
    <tableColumn id="18" xr3:uid="{FFF263A4-5EE2-49F0-9BA6-08425F3D3FE9}" name="Dutch Grand Prix" dataDxfId="94"/>
    <tableColumn id="19" xr3:uid="{0A2EFD7F-EE8D-449A-ADD0-4CCC316EBCE8}" name="Italian Grand Prix" dataDxfId="93"/>
    <tableColumn id="20" xr3:uid="{EB37AA19-112E-41AF-8572-4A071B7C2217}" name="Azerbaijan Grand Prix" dataDxfId="92"/>
    <tableColumn id="21" xr3:uid="{E5F20E2D-66D0-473E-B944-BB69CCC67E52}" name="Singapore Grand Prix" dataDxfId="91"/>
    <tableColumn id="22" xr3:uid="{2C2EEBC6-3F36-4C36-B283-0B40A3DEF047}" name="United States Grand Prix" dataDxfId="90"/>
    <tableColumn id="23" xr3:uid="{F863F260-3241-4267-96F8-B19D16BA264E}" name="Mexico City Grand Prix" dataDxfId="89"/>
    <tableColumn id="24" xr3:uid="{9076A145-7D0A-4875-BB6A-4FB7D295FC47}" name="São Paulo Grand Prix" dataDxfId="88"/>
    <tableColumn id="25" xr3:uid="{E68C8DA5-1B26-4FD9-A9B3-04738D5CD8FB}" name="Las Vegas Grand Prix" dataDxfId="87"/>
    <tableColumn id="26" xr3:uid="{149AD907-AF11-4CF7-A5B7-75B2C9170D15}" name="Qatar Grand Prix" dataDxfId="86"/>
    <tableColumn id="27" xr3:uid="{940BCA92-8A19-4BC4-979F-FC730E0FF0D9}" name="Abu Dhabi Grand Prix" dataDxfId="85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A8F2DB-5318-41DA-B2EB-50513DF6CCBA}" name="Table7" displayName="Table7" ref="A1:Z23" totalsRowShown="0" headerRowDxfId="39" dataDxfId="38">
  <autoFilter ref="A1:Z23" xr:uid="{84A8F2DB-5318-41DA-B2EB-50513DF6CCBA}"/>
  <tableColumns count="26">
    <tableColumn id="1" xr3:uid="{04FE50CB-43CC-4C2C-B3E5-20381A77C6EE}" name="Driver" dataDxfId="37"/>
    <tableColumn id="2" xr3:uid="{6F987E8C-773F-4CD7-8683-D3D2A2357DFC}" name="Constructor" dataDxfId="36">
      <calculatedColumnFormula>_xlfn.XLOOKUP(A2,Constructor!$C$2:$C$23,Constructor!$B$2:$B$23,"")</calculatedColumnFormula>
    </tableColumn>
    <tableColumn id="3" xr3:uid="{F55A6B37-6EDE-41E4-B6B2-EE2FF245418C}" name="Australian Grand Prix" dataDxfId="35"/>
    <tableColumn id="4" xr3:uid="{07D64B60-38BF-49D0-9F5A-DA0EB0A1CF21}" name="Chinese Grand Prix" dataDxfId="34"/>
    <tableColumn id="5" xr3:uid="{1D828739-4FD5-40ED-A5B5-B23567BDE3FE}" name="Japanese Grand Prix" dataDxfId="33"/>
    <tableColumn id="6" xr3:uid="{1062B4A0-6DF4-41F9-877D-4B43E48CCFE6}" name="Bahrain Grand Prix" dataDxfId="32"/>
    <tableColumn id="7" xr3:uid="{1C734CE0-74E1-4F37-8C9E-9F2EE741BFE5}" name="Saudi Arabian Grand Prix" dataDxfId="31"/>
    <tableColumn id="8" xr3:uid="{6DA07DD4-DD0E-4DB7-AEA7-F3A2E9225738}" name="Miami Grand Prix" dataDxfId="30"/>
    <tableColumn id="9" xr3:uid="{257ED334-DEA1-4225-A408-3C2676795930}" name="Emilia Romagna Grand Prix" dataDxfId="29"/>
    <tableColumn id="10" xr3:uid="{BAE89735-07AF-444C-B220-851C0CB3C754}" name="Monaco Grand Prix" dataDxfId="28"/>
    <tableColumn id="11" xr3:uid="{B7D94A29-43B7-41DC-80C3-B1923F3E9284}" name="Spanish Grand Prix" dataDxfId="27"/>
    <tableColumn id="12" xr3:uid="{21AA035A-318D-4FB7-BBBA-0C6D4F13E5CB}" name="Canadian Grand Prix" dataDxfId="26"/>
    <tableColumn id="13" xr3:uid="{FACD5626-3EE1-4F7A-B7CB-6C80DE689297}" name="Austrian Grand Prix" dataDxfId="25"/>
    <tableColumn id="14" xr3:uid="{D0953B36-F941-4B38-8251-D2477280E99D}" name="British Grand Prix" dataDxfId="24"/>
    <tableColumn id="15" xr3:uid="{AC25F154-2768-4FDF-8473-44B8EF96F3F9}" name="Belgian Grand Prix" dataDxfId="23"/>
    <tableColumn id="16" xr3:uid="{06BB5252-52C6-48F1-92DD-3677D94F6AD6}" name="Hungarian Grand Prix" dataDxfId="22"/>
    <tableColumn id="17" xr3:uid="{6FCED645-DEDA-4065-8ED7-3401FF6E8A64}" name="Dutch Grand Prix" dataDxfId="21"/>
    <tableColumn id="18" xr3:uid="{66976D97-649B-4E27-84FB-6BBBDE6B54DD}" name="Italian Grand Prix" dataDxfId="20"/>
    <tableColumn id="19" xr3:uid="{41283C26-AE5C-4033-8465-C5C3B22E6094}" name="Azerbaijan Grand Prix" dataDxfId="19"/>
    <tableColumn id="20" xr3:uid="{C4FE0C5A-0BCF-477D-ABC0-0A0D0583E97C}" name="Singapore Grand Prix" dataDxfId="18"/>
    <tableColumn id="21" xr3:uid="{F69B7691-4E40-4AE7-846B-7BA48ADEE249}" name="United States Grand Prix" dataDxfId="17"/>
    <tableColumn id="22" xr3:uid="{B7417A28-B404-40D9-AFF3-00A8B4A0C4D2}" name="Mexico City Grand Prix" dataDxfId="16"/>
    <tableColumn id="23" xr3:uid="{FE4AA98D-B3DC-4364-BC04-FAE369D83855}" name="São Paulo Grand Prix" dataDxfId="15"/>
    <tableColumn id="24" xr3:uid="{BCBF9F5E-E462-49BA-87E9-6620D01608A4}" name="Las Vegas Grand Prix" dataDxfId="14"/>
    <tableColumn id="25" xr3:uid="{5963F622-6118-42F5-BD17-0A2B097489EC}" name="Qatar Grand Prix" dataDxfId="13"/>
    <tableColumn id="26" xr3:uid="{2B6C136A-A691-419C-9E4E-23006C9A0B32}" name="Abu Dhabi Grand Prix" dataDxfId="12"/>
  </tableColumns>
  <tableStyleInfo name="TableStyleDark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C8425B-C655-4E04-A073-CF7E04AF601A}" name="Table5" displayName="Table5" ref="A1:E23" totalsRowShown="0" headerRowDxfId="11" dataDxfId="10">
  <autoFilter ref="A1:E23" xr:uid="{50C8425B-C655-4E04-A073-CF7E04AF601A}"/>
  <tableColumns count="5">
    <tableColumn id="1" xr3:uid="{D9288ECF-7FB6-413D-B1F9-D0C1F542379A}" name="Team Name" dataDxfId="9">
      <calculatedColumnFormula>_xlfn.XLOOKUP(C2,Drivers!$B$2:$B$23,Drivers!$C$2:$C$23,"")</calculatedColumnFormula>
    </tableColumn>
    <tableColumn id="2" xr3:uid="{9F22078D-54A1-4A4A-AF23-B4137F60AB3E}" name="Constructor" dataDxfId="8">
      <calculatedColumnFormula>_xlfn.XLOOKUP(C2,Drivers!$B$2:$B$23,Drivers!$F$2:$F$23,"")</calculatedColumnFormula>
    </tableColumn>
    <tableColumn id="3" xr3:uid="{8E3FB958-7BB0-400F-A3F5-E8EC1EDBE678}" name="Driver" dataDxfId="7"/>
    <tableColumn id="4" xr3:uid="{386A61E9-CDA2-4647-81AE-9E7EE26F203F}" name="Engine/Power Unit" dataDxfId="6"/>
    <tableColumn id="5" xr3:uid="{FECB8E79-446F-4614-9058-29E64F3CE65C}" name="Chassis" dataDxfId="5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7"/>
  <sheetViews>
    <sheetView tabSelected="1" workbookViewId="0">
      <selection activeCell="E27" sqref="E27"/>
    </sheetView>
  </sheetViews>
  <sheetFormatPr defaultRowHeight="14.4" x14ac:dyDescent="0.3"/>
  <cols>
    <col min="1" max="1" width="2.5546875" style="3" customWidth="1"/>
    <col min="2" max="2" width="29.33203125" style="3" bestFit="1" customWidth="1"/>
    <col min="3" max="3" width="46.33203125" style="3" bestFit="1" customWidth="1"/>
    <col min="4" max="4" width="10.21875" style="3" bestFit="1" customWidth="1"/>
    <col min="5" max="5" width="21" style="3" customWidth="1"/>
    <col min="6" max="6" width="26.6640625" style="3" bestFit="1" customWidth="1"/>
    <col min="7" max="7" width="5.5546875" style="4" bestFit="1" customWidth="1"/>
    <col min="8" max="8" width="4.21875" style="4" bestFit="1" customWidth="1"/>
    <col min="9" max="9" width="5" style="4" bestFit="1" customWidth="1"/>
    <col min="10" max="10" width="4.21875" style="4" bestFit="1" customWidth="1"/>
    <col min="11" max="11" width="5" style="4" bestFit="1" customWidth="1"/>
    <col min="12" max="12" width="4.21875" style="4" bestFit="1" customWidth="1"/>
    <col min="13" max="13" width="5" style="4" bestFit="1" customWidth="1"/>
    <col min="14" max="14" width="46.33203125" style="4" bestFit="1" customWidth="1"/>
    <col min="15" max="15" width="26.6640625" style="4" bestFit="1" customWidth="1"/>
    <col min="16" max="16" width="12.44140625" style="4" bestFit="1" customWidth="1"/>
    <col min="17" max="17" width="26" style="4" bestFit="1" customWidth="1"/>
    <col min="18" max="18" width="11.33203125" style="4" bestFit="1" customWidth="1"/>
    <col min="19" max="19" width="29.33203125" style="4" bestFit="1" customWidth="1"/>
    <col min="20" max="20" width="5" style="4" bestFit="1" customWidth="1"/>
    <col min="21" max="21" width="4.21875" style="4" bestFit="1" customWidth="1"/>
    <col min="22" max="22" width="5" style="4" bestFit="1" customWidth="1"/>
    <col min="23" max="23" width="4.21875" style="4" bestFit="1" customWidth="1"/>
    <col min="24" max="24" width="5" style="4" bestFit="1" customWidth="1"/>
    <col min="25" max="25" width="4.21875" style="4" bestFit="1" customWidth="1"/>
    <col min="26" max="26" width="5" style="4" bestFit="1" customWidth="1"/>
    <col min="27" max="16384" width="8.88671875" style="3"/>
  </cols>
  <sheetData>
    <row r="1" spans="2:26" s="1" customFormat="1" x14ac:dyDescent="0.3">
      <c r="B1" s="1" t="s">
        <v>0</v>
      </c>
      <c r="C1" s="1" t="s">
        <v>1</v>
      </c>
      <c r="D1" s="1" t="s">
        <v>2</v>
      </c>
      <c r="E1" s="1" t="s">
        <v>5</v>
      </c>
      <c r="F1" s="1" t="s">
        <v>13</v>
      </c>
      <c r="G1" s="2"/>
      <c r="H1" s="2"/>
      <c r="I1" s="2"/>
      <c r="J1" s="2"/>
      <c r="K1" s="2"/>
      <c r="L1" s="2"/>
      <c r="M1" s="2"/>
      <c r="V1" s="2"/>
      <c r="W1" s="2"/>
      <c r="X1" s="2"/>
      <c r="Y1" s="2"/>
      <c r="Z1" s="2"/>
    </row>
    <row r="2" spans="2:26" x14ac:dyDescent="0.3">
      <c r="B2" s="19" t="s">
        <v>18</v>
      </c>
      <c r="C2" s="19" t="s">
        <v>130</v>
      </c>
      <c r="D2" s="19">
        <v>10</v>
      </c>
      <c r="E2" s="19" t="s">
        <v>158</v>
      </c>
      <c r="F2" s="19" t="s">
        <v>124</v>
      </c>
    </row>
    <row r="3" spans="2:26" x14ac:dyDescent="0.3">
      <c r="B3" s="19" t="s">
        <v>120</v>
      </c>
      <c r="C3" s="19" t="s">
        <v>130</v>
      </c>
      <c r="D3" s="19">
        <v>43</v>
      </c>
      <c r="E3" s="19" t="s">
        <v>159</v>
      </c>
      <c r="F3" s="19" t="s">
        <v>124</v>
      </c>
    </row>
    <row r="4" spans="2:26" x14ac:dyDescent="0.3">
      <c r="B4" s="19" t="s">
        <v>19</v>
      </c>
      <c r="C4" s="19" t="s">
        <v>133</v>
      </c>
      <c r="D4" s="19">
        <v>14</v>
      </c>
      <c r="E4" s="19" t="s">
        <v>160</v>
      </c>
      <c r="F4" s="19" t="s">
        <v>125</v>
      </c>
    </row>
    <row r="5" spans="2:26" x14ac:dyDescent="0.3">
      <c r="B5" s="19" t="s">
        <v>20</v>
      </c>
      <c r="C5" s="19" t="s">
        <v>133</v>
      </c>
      <c r="D5" s="19">
        <v>18</v>
      </c>
      <c r="E5" s="19" t="s">
        <v>161</v>
      </c>
      <c r="F5" s="19" t="s">
        <v>125</v>
      </c>
    </row>
    <row r="6" spans="2:26" x14ac:dyDescent="0.3">
      <c r="B6" s="19" t="s">
        <v>33</v>
      </c>
      <c r="C6" s="19" t="s">
        <v>136</v>
      </c>
      <c r="D6" s="19">
        <v>23</v>
      </c>
      <c r="E6" s="19" t="s">
        <v>162</v>
      </c>
      <c r="F6" s="19" t="s">
        <v>126</v>
      </c>
    </row>
    <row r="7" spans="2:26" x14ac:dyDescent="0.3">
      <c r="B7" s="19" t="s">
        <v>34</v>
      </c>
      <c r="C7" s="19" t="s">
        <v>136</v>
      </c>
      <c r="D7" s="19">
        <v>55</v>
      </c>
      <c r="E7" s="19" t="s">
        <v>160</v>
      </c>
      <c r="F7" s="19" t="s">
        <v>126</v>
      </c>
    </row>
    <row r="8" spans="2:26" x14ac:dyDescent="0.3">
      <c r="B8" s="19" t="s">
        <v>25</v>
      </c>
      <c r="C8" s="19" t="s">
        <v>138</v>
      </c>
      <c r="D8" s="19">
        <v>5</v>
      </c>
      <c r="E8" s="19" t="s">
        <v>163</v>
      </c>
      <c r="F8" s="19" t="s">
        <v>123</v>
      </c>
    </row>
    <row r="9" spans="2:26" x14ac:dyDescent="0.3">
      <c r="B9" s="19" t="s">
        <v>26</v>
      </c>
      <c r="C9" s="19" t="s">
        <v>138</v>
      </c>
      <c r="D9" s="19">
        <v>27</v>
      </c>
      <c r="E9" s="19" t="s">
        <v>164</v>
      </c>
      <c r="F9" s="19" t="s">
        <v>123</v>
      </c>
    </row>
    <row r="10" spans="2:26" x14ac:dyDescent="0.3">
      <c r="B10" s="19" t="s">
        <v>117</v>
      </c>
      <c r="C10" s="19" t="s">
        <v>141</v>
      </c>
      <c r="D10" s="19">
        <v>11</v>
      </c>
      <c r="E10" s="19" t="s">
        <v>165</v>
      </c>
      <c r="F10" s="19" t="s">
        <v>127</v>
      </c>
    </row>
    <row r="11" spans="2:26" x14ac:dyDescent="0.3">
      <c r="B11" s="19" t="s">
        <v>121</v>
      </c>
      <c r="C11" s="19" t="s">
        <v>141</v>
      </c>
      <c r="D11" s="19">
        <v>77</v>
      </c>
      <c r="E11" s="19" t="s">
        <v>166</v>
      </c>
      <c r="F11" s="19" t="s">
        <v>127</v>
      </c>
    </row>
    <row r="12" spans="2:26" x14ac:dyDescent="0.3">
      <c r="B12" s="19" t="s">
        <v>21</v>
      </c>
      <c r="C12" s="19" t="s">
        <v>144</v>
      </c>
      <c r="D12" s="19">
        <v>16</v>
      </c>
      <c r="E12" s="19" t="s">
        <v>167</v>
      </c>
      <c r="F12" s="19" t="s">
        <v>16</v>
      </c>
    </row>
    <row r="13" spans="2:26" x14ac:dyDescent="0.3">
      <c r="B13" s="19" t="s">
        <v>22</v>
      </c>
      <c r="C13" s="19" t="s">
        <v>144</v>
      </c>
      <c r="D13" s="19">
        <v>44</v>
      </c>
      <c r="E13" s="19" t="s">
        <v>168</v>
      </c>
      <c r="F13" s="19" t="s">
        <v>16</v>
      </c>
    </row>
    <row r="14" spans="2:26" x14ac:dyDescent="0.3">
      <c r="B14" s="19" t="s">
        <v>23</v>
      </c>
      <c r="C14" s="19" t="s">
        <v>146</v>
      </c>
      <c r="D14" s="19">
        <v>31</v>
      </c>
      <c r="E14" s="19" t="s">
        <v>158</v>
      </c>
      <c r="F14" s="19" t="s">
        <v>35</v>
      </c>
    </row>
    <row r="15" spans="2:26" x14ac:dyDescent="0.3">
      <c r="B15" s="19" t="s">
        <v>24</v>
      </c>
      <c r="C15" s="19" t="s">
        <v>146</v>
      </c>
      <c r="D15" s="19">
        <v>87</v>
      </c>
      <c r="E15" s="19" t="s">
        <v>168</v>
      </c>
      <c r="F15" s="19" t="s">
        <v>35</v>
      </c>
    </row>
    <row r="16" spans="2:26" x14ac:dyDescent="0.3">
      <c r="B16" s="19" t="s">
        <v>27</v>
      </c>
      <c r="C16" s="19" t="s">
        <v>148</v>
      </c>
      <c r="D16" s="19">
        <v>1</v>
      </c>
      <c r="E16" s="19" t="s">
        <v>168</v>
      </c>
      <c r="F16" s="19" t="s">
        <v>15</v>
      </c>
    </row>
    <row r="17" spans="2:19" x14ac:dyDescent="0.3">
      <c r="B17" s="19" t="s">
        <v>28</v>
      </c>
      <c r="C17" s="19" t="s">
        <v>148</v>
      </c>
      <c r="D17" s="19">
        <v>81</v>
      </c>
      <c r="E17" s="19" t="s">
        <v>169</v>
      </c>
      <c r="F17" s="19" t="s">
        <v>15</v>
      </c>
    </row>
    <row r="18" spans="2:19" x14ac:dyDescent="0.3">
      <c r="B18" s="19" t="s">
        <v>118</v>
      </c>
      <c r="C18" s="19" t="s">
        <v>150</v>
      </c>
      <c r="D18" s="19">
        <v>12</v>
      </c>
      <c r="E18" s="19" t="s">
        <v>170</v>
      </c>
      <c r="F18" s="19" t="s">
        <v>17</v>
      </c>
    </row>
    <row r="19" spans="2:19" x14ac:dyDescent="0.3">
      <c r="B19" s="19" t="s">
        <v>29</v>
      </c>
      <c r="C19" s="19" t="s">
        <v>150</v>
      </c>
      <c r="D19" s="19">
        <v>63</v>
      </c>
      <c r="E19" s="19" t="s">
        <v>168</v>
      </c>
      <c r="F19" s="19" t="s">
        <v>17</v>
      </c>
    </row>
    <row r="20" spans="2:19" x14ac:dyDescent="0.3">
      <c r="B20" s="19" t="s">
        <v>32</v>
      </c>
      <c r="C20" s="19" t="s">
        <v>152</v>
      </c>
      <c r="D20" s="19">
        <v>30</v>
      </c>
      <c r="E20" s="19" t="s">
        <v>171</v>
      </c>
      <c r="F20" s="19" t="s">
        <v>128</v>
      </c>
    </row>
    <row r="21" spans="2:19" x14ac:dyDescent="0.3">
      <c r="B21" s="19" t="s">
        <v>119</v>
      </c>
      <c r="C21" s="19" t="s">
        <v>152</v>
      </c>
      <c r="D21" s="19">
        <v>41</v>
      </c>
      <c r="E21" s="19" t="s">
        <v>168</v>
      </c>
      <c r="F21" s="19" t="s">
        <v>128</v>
      </c>
    </row>
    <row r="22" spans="2:19" x14ac:dyDescent="0.3">
      <c r="B22" s="19" t="s">
        <v>31</v>
      </c>
      <c r="C22" s="19" t="s">
        <v>155</v>
      </c>
      <c r="D22" s="19">
        <v>3</v>
      </c>
      <c r="E22" s="19" t="s">
        <v>172</v>
      </c>
      <c r="F22" s="19" t="s">
        <v>129</v>
      </c>
    </row>
    <row r="23" spans="2:19" x14ac:dyDescent="0.3">
      <c r="B23" s="19" t="s">
        <v>30</v>
      </c>
      <c r="C23" s="19" t="s">
        <v>155</v>
      </c>
      <c r="D23" s="19">
        <v>6</v>
      </c>
      <c r="E23" s="19" t="s">
        <v>158</v>
      </c>
      <c r="F23" s="19" t="s">
        <v>129</v>
      </c>
    </row>
    <row r="25" spans="2:19" x14ac:dyDescent="0.3">
      <c r="N25" s="3"/>
      <c r="O25" s="3"/>
      <c r="P25" s="3"/>
      <c r="Q25" s="3"/>
      <c r="R25" s="3"/>
      <c r="S25" s="3"/>
    </row>
    <row r="26" spans="2:19" x14ac:dyDescent="0.3">
      <c r="N26" s="3"/>
      <c r="O26" s="3"/>
      <c r="P26" s="3"/>
      <c r="Q26" s="3"/>
      <c r="R26" s="3"/>
      <c r="S26" s="3"/>
    </row>
    <row r="27" spans="2:19" x14ac:dyDescent="0.3">
      <c r="N27" s="3"/>
      <c r="O27" s="3"/>
      <c r="P27" s="3"/>
      <c r="Q27" s="3"/>
      <c r="R27" s="3"/>
      <c r="S27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F9E2-BFB4-48A6-9313-90407B9BAB5B}">
  <dimension ref="B2:J57"/>
  <sheetViews>
    <sheetView workbookViewId="0">
      <selection activeCell="F35" sqref="F35"/>
    </sheetView>
  </sheetViews>
  <sheetFormatPr defaultRowHeight="14.4" x14ac:dyDescent="0.3"/>
  <cols>
    <col min="1" max="1" width="2.5546875" style="3" customWidth="1"/>
    <col min="2" max="2" width="24.33203125" style="3" bestFit="1" customWidth="1"/>
    <col min="3" max="3" width="31.6640625" style="3" bestFit="1" customWidth="1"/>
    <col min="4" max="4" width="21.6640625" style="3" bestFit="1" customWidth="1"/>
    <col min="5" max="5" width="13" style="3" bestFit="1" customWidth="1"/>
    <col min="6" max="6" width="10.33203125" style="3" customWidth="1"/>
    <col min="7" max="7" width="13.77734375" style="3" customWidth="1"/>
    <col min="8" max="10" width="18.5546875" style="18" customWidth="1"/>
    <col min="11" max="16384" width="8.88671875" style="3"/>
  </cols>
  <sheetData>
    <row r="2" spans="2:10" s="1" customFormat="1" x14ac:dyDescent="0.3">
      <c r="B2" s="1" t="s">
        <v>85</v>
      </c>
      <c r="C2" s="1" t="s">
        <v>110</v>
      </c>
      <c r="D2" s="1" t="s">
        <v>6</v>
      </c>
      <c r="E2" s="1" t="s">
        <v>84</v>
      </c>
      <c r="F2" s="1" t="s">
        <v>7</v>
      </c>
      <c r="G2" s="1" t="s">
        <v>8</v>
      </c>
      <c r="H2" s="17" t="s">
        <v>111</v>
      </c>
      <c r="I2" s="17" t="s">
        <v>112</v>
      </c>
      <c r="J2" s="17" t="s">
        <v>113</v>
      </c>
    </row>
    <row r="3" spans="2:10" x14ac:dyDescent="0.3">
      <c r="B3" s="3" t="s">
        <v>86</v>
      </c>
      <c r="C3" s="3" t="s">
        <v>36</v>
      </c>
      <c r="D3" s="3" t="s">
        <v>37</v>
      </c>
      <c r="E3" s="22">
        <v>46089</v>
      </c>
      <c r="F3" s="3">
        <v>5.2779999999999996</v>
      </c>
    </row>
    <row r="4" spans="2:10" x14ac:dyDescent="0.3">
      <c r="B4" s="3" t="s">
        <v>87</v>
      </c>
      <c r="C4" s="3" t="s">
        <v>38</v>
      </c>
      <c r="D4" s="3" t="s">
        <v>39</v>
      </c>
      <c r="F4" s="3">
        <v>5.4509999999999996</v>
      </c>
    </row>
    <row r="5" spans="2:10" x14ac:dyDescent="0.3">
      <c r="B5" s="3" t="s">
        <v>88</v>
      </c>
      <c r="C5" s="3" t="s">
        <v>40</v>
      </c>
      <c r="D5" s="3" t="s">
        <v>41</v>
      </c>
      <c r="F5" s="3">
        <v>5.8070000000000004</v>
      </c>
    </row>
    <row r="6" spans="2:10" x14ac:dyDescent="0.3">
      <c r="B6" s="3" t="s">
        <v>89</v>
      </c>
      <c r="C6" s="3" t="s">
        <v>42</v>
      </c>
      <c r="D6" s="3" t="s">
        <v>43</v>
      </c>
      <c r="F6" s="3">
        <v>5.4119999999999999</v>
      </c>
    </row>
    <row r="7" spans="2:10" x14ac:dyDescent="0.3">
      <c r="B7" s="3" t="s">
        <v>90</v>
      </c>
      <c r="C7" s="3" t="s">
        <v>44</v>
      </c>
      <c r="D7" s="3" t="s">
        <v>45</v>
      </c>
      <c r="F7" s="3">
        <v>6.1740000000000004</v>
      </c>
    </row>
    <row r="8" spans="2:10" x14ac:dyDescent="0.3">
      <c r="B8" s="3" t="s">
        <v>91</v>
      </c>
      <c r="C8" s="3" t="s">
        <v>46</v>
      </c>
      <c r="D8" s="3" t="s">
        <v>81</v>
      </c>
      <c r="F8" s="3">
        <v>5.4119999999999999</v>
      </c>
    </row>
    <row r="9" spans="2:10" x14ac:dyDescent="0.3">
      <c r="B9" s="3" t="s">
        <v>92</v>
      </c>
      <c r="C9" s="3" t="s">
        <v>47</v>
      </c>
      <c r="D9" s="3" t="s">
        <v>48</v>
      </c>
      <c r="F9" s="3">
        <v>4.9089999999999998</v>
      </c>
    </row>
    <row r="10" spans="2:10" x14ac:dyDescent="0.3">
      <c r="B10" s="3" t="s">
        <v>93</v>
      </c>
      <c r="C10" s="3" t="s">
        <v>49</v>
      </c>
      <c r="D10" s="3" t="s">
        <v>50</v>
      </c>
      <c r="F10" s="3">
        <v>3.3370000000000002</v>
      </c>
    </row>
    <row r="11" spans="2:10" x14ac:dyDescent="0.3">
      <c r="B11" s="3" t="s">
        <v>94</v>
      </c>
      <c r="C11" s="3" t="s">
        <v>51</v>
      </c>
      <c r="D11" s="3" t="s">
        <v>52</v>
      </c>
      <c r="F11" s="3">
        <v>4.6749999999999998</v>
      </c>
    </row>
    <row r="12" spans="2:10" x14ac:dyDescent="0.3">
      <c r="B12" s="3" t="s">
        <v>95</v>
      </c>
      <c r="C12" s="3" t="s">
        <v>53</v>
      </c>
      <c r="D12" s="3" t="s">
        <v>54</v>
      </c>
      <c r="F12" s="3">
        <v>4.3609999999999998</v>
      </c>
    </row>
    <row r="13" spans="2:10" x14ac:dyDescent="0.3">
      <c r="B13" s="3" t="s">
        <v>96</v>
      </c>
      <c r="C13" s="3" t="s">
        <v>55</v>
      </c>
      <c r="D13" s="3" t="s">
        <v>56</v>
      </c>
      <c r="F13" s="3">
        <v>4.3179999999999996</v>
      </c>
    </row>
    <row r="14" spans="2:10" x14ac:dyDescent="0.3">
      <c r="B14" s="3" t="s">
        <v>97</v>
      </c>
      <c r="C14" s="3" t="s">
        <v>57</v>
      </c>
      <c r="D14" s="3" t="s">
        <v>58</v>
      </c>
      <c r="F14" s="3">
        <v>5.891</v>
      </c>
    </row>
    <row r="15" spans="2:10" x14ac:dyDescent="0.3">
      <c r="B15" s="3" t="s">
        <v>98</v>
      </c>
      <c r="C15" s="3" t="s">
        <v>59</v>
      </c>
      <c r="D15" s="3" t="s">
        <v>60</v>
      </c>
      <c r="F15" s="3">
        <v>7.0039999999999996</v>
      </c>
    </row>
    <row r="16" spans="2:10" x14ac:dyDescent="0.3">
      <c r="B16" s="3" t="s">
        <v>99</v>
      </c>
      <c r="C16" s="3" t="s">
        <v>61</v>
      </c>
      <c r="D16" s="3" t="s">
        <v>62</v>
      </c>
      <c r="F16" s="3">
        <v>4.3810000000000002</v>
      </c>
    </row>
    <row r="17" spans="2:9" x14ac:dyDescent="0.3">
      <c r="B17" s="3" t="s">
        <v>100</v>
      </c>
      <c r="C17" s="3" t="s">
        <v>63</v>
      </c>
      <c r="D17" s="3" t="s">
        <v>64</v>
      </c>
      <c r="F17" s="3">
        <v>4.2590000000000003</v>
      </c>
    </row>
    <row r="18" spans="2:9" x14ac:dyDescent="0.3">
      <c r="B18" s="3" t="s">
        <v>101</v>
      </c>
      <c r="C18" s="3" t="s">
        <v>65</v>
      </c>
      <c r="D18" s="3" t="s">
        <v>66</v>
      </c>
      <c r="F18" s="3">
        <v>5.7930000000000001</v>
      </c>
    </row>
    <row r="19" spans="2:9" x14ac:dyDescent="0.3">
      <c r="B19" s="3" t="s">
        <v>102</v>
      </c>
      <c r="C19" s="3" t="s">
        <v>67</v>
      </c>
      <c r="D19" s="3" t="s">
        <v>68</v>
      </c>
      <c r="F19" s="3">
        <v>6.0030000000000001</v>
      </c>
    </row>
    <row r="20" spans="2:9" x14ac:dyDescent="0.3">
      <c r="B20" s="3" t="s">
        <v>103</v>
      </c>
      <c r="C20" s="3" t="s">
        <v>69</v>
      </c>
      <c r="D20" s="3" t="s">
        <v>70</v>
      </c>
      <c r="F20" s="3">
        <v>4.9279999999999999</v>
      </c>
    </row>
    <row r="21" spans="2:9" x14ac:dyDescent="0.3">
      <c r="B21" s="3" t="s">
        <v>104</v>
      </c>
      <c r="C21" s="3" t="s">
        <v>71</v>
      </c>
      <c r="D21" s="3" t="s">
        <v>82</v>
      </c>
      <c r="F21" s="3">
        <v>5.5129999999999999</v>
      </c>
    </row>
    <row r="22" spans="2:9" x14ac:dyDescent="0.3">
      <c r="B22" s="3" t="s">
        <v>105</v>
      </c>
      <c r="C22" s="3" t="s">
        <v>72</v>
      </c>
      <c r="D22" s="3" t="s">
        <v>73</v>
      </c>
      <c r="F22" s="3">
        <v>4.3040000000000003</v>
      </c>
    </row>
    <row r="23" spans="2:9" x14ac:dyDescent="0.3">
      <c r="B23" s="3" t="s">
        <v>106</v>
      </c>
      <c r="C23" s="3" t="s">
        <v>74</v>
      </c>
      <c r="D23" s="3" t="s">
        <v>75</v>
      </c>
      <c r="F23" s="3">
        <v>4.3090000000000002</v>
      </c>
    </row>
    <row r="24" spans="2:9" x14ac:dyDescent="0.3">
      <c r="B24" s="3" t="s">
        <v>107</v>
      </c>
      <c r="C24" s="3" t="s">
        <v>76</v>
      </c>
      <c r="D24" s="3" t="s">
        <v>83</v>
      </c>
      <c r="F24" s="3">
        <v>6.2009999999999996</v>
      </c>
    </row>
    <row r="25" spans="2:9" x14ac:dyDescent="0.3">
      <c r="B25" s="3" t="s">
        <v>108</v>
      </c>
      <c r="C25" s="3" t="s">
        <v>77</v>
      </c>
      <c r="D25" s="3" t="s">
        <v>78</v>
      </c>
      <c r="F25" s="3">
        <v>5.4189999999999996</v>
      </c>
    </row>
    <row r="26" spans="2:9" x14ac:dyDescent="0.3">
      <c r="B26" s="3" t="s">
        <v>109</v>
      </c>
      <c r="C26" s="3" t="s">
        <v>79</v>
      </c>
      <c r="D26" s="3" t="s">
        <v>80</v>
      </c>
      <c r="F26" s="3">
        <v>5.2809999999999997</v>
      </c>
    </row>
    <row r="28" spans="2:9" x14ac:dyDescent="0.3">
      <c r="B28" s="19"/>
      <c r="C28" s="19"/>
      <c r="D28" s="19"/>
      <c r="E28" s="19"/>
    </row>
    <row r="29" spans="2:9" x14ac:dyDescent="0.3">
      <c r="B29" s="19"/>
      <c r="C29" s="19"/>
      <c r="D29" s="19"/>
      <c r="E29" s="19"/>
    </row>
    <row r="30" spans="2:9" x14ac:dyDescent="0.3">
      <c r="B30" s="19"/>
      <c r="C30" s="19"/>
      <c r="D30" s="19"/>
      <c r="E30" s="19"/>
    </row>
    <row r="31" spans="2:9" x14ac:dyDescent="0.3">
      <c r="B31" s="19"/>
      <c r="C31" s="19"/>
      <c r="D31" s="19"/>
      <c r="E31" s="19"/>
    </row>
    <row r="32" spans="2:9" x14ac:dyDescent="0.3">
      <c r="B32" s="19"/>
      <c r="C32" s="19"/>
      <c r="D32" s="19"/>
      <c r="E32" s="19"/>
      <c r="I32" s="20"/>
    </row>
    <row r="33" spans="2:9" x14ac:dyDescent="0.3">
      <c r="B33" s="19"/>
      <c r="C33" s="19"/>
      <c r="D33" s="19"/>
      <c r="E33" s="19"/>
      <c r="I33" s="20"/>
    </row>
    <row r="34" spans="2:9" x14ac:dyDescent="0.3">
      <c r="B34" s="19"/>
      <c r="C34" s="19"/>
      <c r="D34" s="19"/>
      <c r="E34" s="19"/>
      <c r="I34" s="20"/>
    </row>
    <row r="35" spans="2:9" x14ac:dyDescent="0.3">
      <c r="B35" s="19"/>
      <c r="C35" s="19"/>
      <c r="D35" s="19"/>
      <c r="E35" s="19"/>
      <c r="I35" s="20"/>
    </row>
    <row r="36" spans="2:9" x14ac:dyDescent="0.3">
      <c r="B36" s="19"/>
      <c r="C36" s="19"/>
      <c r="D36" s="19"/>
      <c r="E36" s="19"/>
      <c r="I36" s="20"/>
    </row>
    <row r="37" spans="2:9" x14ac:dyDescent="0.3">
      <c r="B37" s="19"/>
      <c r="C37" s="19"/>
      <c r="D37" s="19"/>
      <c r="E37" s="19"/>
      <c r="I37" s="20"/>
    </row>
    <row r="38" spans="2:9" x14ac:dyDescent="0.3">
      <c r="B38" s="19"/>
      <c r="C38" s="19"/>
      <c r="D38" s="19"/>
      <c r="E38" s="19"/>
      <c r="I38" s="20"/>
    </row>
    <row r="39" spans="2:9" x14ac:dyDescent="0.3">
      <c r="B39" s="19"/>
      <c r="C39" s="19"/>
      <c r="D39" s="19"/>
      <c r="E39" s="19"/>
      <c r="I39" s="20"/>
    </row>
    <row r="40" spans="2:9" x14ac:dyDescent="0.3">
      <c r="B40" s="19"/>
      <c r="C40" s="19"/>
      <c r="D40" s="19"/>
      <c r="E40" s="19"/>
      <c r="I40" s="20"/>
    </row>
    <row r="41" spans="2:9" x14ac:dyDescent="0.3">
      <c r="B41" s="19"/>
      <c r="C41" s="19"/>
      <c r="D41" s="19"/>
      <c r="E41" s="19"/>
      <c r="I41" s="20"/>
    </row>
    <row r="42" spans="2:9" x14ac:dyDescent="0.3">
      <c r="B42" s="19"/>
      <c r="C42" s="19"/>
      <c r="D42" s="19"/>
      <c r="E42" s="19"/>
      <c r="I42" s="20"/>
    </row>
    <row r="43" spans="2:9" x14ac:dyDescent="0.3">
      <c r="B43" s="19"/>
      <c r="C43" s="19"/>
      <c r="D43" s="19"/>
      <c r="E43" s="19"/>
      <c r="I43" s="20"/>
    </row>
    <row r="44" spans="2:9" x14ac:dyDescent="0.3">
      <c r="B44" s="19"/>
      <c r="C44" s="19"/>
      <c r="D44" s="19"/>
      <c r="E44" s="19"/>
      <c r="I44" s="20"/>
    </row>
    <row r="45" spans="2:9" x14ac:dyDescent="0.3">
      <c r="B45" s="19"/>
      <c r="C45" s="19"/>
      <c r="D45" s="19"/>
      <c r="E45" s="19"/>
      <c r="I45" s="20"/>
    </row>
    <row r="46" spans="2:9" x14ac:dyDescent="0.3">
      <c r="B46" s="19"/>
      <c r="C46" s="19"/>
      <c r="D46" s="19"/>
      <c r="E46" s="19"/>
      <c r="I46" s="20"/>
    </row>
    <row r="47" spans="2:9" x14ac:dyDescent="0.3">
      <c r="B47" s="19"/>
      <c r="C47" s="19"/>
      <c r="D47" s="19"/>
      <c r="E47" s="19"/>
      <c r="I47" s="20"/>
    </row>
    <row r="48" spans="2:9" x14ac:dyDescent="0.3">
      <c r="B48" s="19"/>
      <c r="C48" s="19"/>
      <c r="D48" s="19"/>
      <c r="E48" s="19"/>
      <c r="I48" s="20"/>
    </row>
    <row r="49" spans="2:9" x14ac:dyDescent="0.3">
      <c r="B49" s="19"/>
      <c r="C49" s="19"/>
      <c r="D49" s="19"/>
      <c r="E49" s="19"/>
      <c r="I49" s="20"/>
    </row>
    <row r="50" spans="2:9" x14ac:dyDescent="0.3">
      <c r="B50" s="19"/>
      <c r="C50" s="19"/>
      <c r="D50" s="19"/>
      <c r="E50" s="19"/>
      <c r="I50" s="20"/>
    </row>
    <row r="51" spans="2:9" x14ac:dyDescent="0.3">
      <c r="B51" s="19"/>
      <c r="C51" s="19"/>
      <c r="D51" s="19"/>
      <c r="E51" s="19"/>
      <c r="I51" s="20"/>
    </row>
    <row r="52" spans="2:9" x14ac:dyDescent="0.3">
      <c r="B52" s="19"/>
      <c r="C52" s="19"/>
      <c r="D52" s="19"/>
      <c r="E52" s="19"/>
      <c r="I52" s="20"/>
    </row>
    <row r="53" spans="2:9" x14ac:dyDescent="0.3">
      <c r="B53" s="19"/>
      <c r="C53" s="19"/>
      <c r="D53" s="19"/>
      <c r="E53" s="19"/>
      <c r="I53" s="20"/>
    </row>
    <row r="54" spans="2:9" x14ac:dyDescent="0.3">
      <c r="B54" s="19"/>
      <c r="C54" s="19"/>
      <c r="D54" s="19"/>
      <c r="E54" s="19"/>
      <c r="I54" s="20"/>
    </row>
    <row r="55" spans="2:9" x14ac:dyDescent="0.3">
      <c r="B55" s="19"/>
      <c r="C55" s="19"/>
      <c r="D55" s="19"/>
      <c r="E55" s="19"/>
      <c r="I55" s="20"/>
    </row>
    <row r="56" spans="2:9" x14ac:dyDescent="0.3">
      <c r="B56" s="19"/>
      <c r="C56" s="19"/>
      <c r="D56" s="19"/>
      <c r="E56" s="19"/>
    </row>
    <row r="57" spans="2:9" x14ac:dyDescent="0.3">
      <c r="B57" s="19" t="s">
        <v>114</v>
      </c>
      <c r="C57" s="19"/>
      <c r="D57" s="19"/>
      <c r="E57" s="19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C79DEC-854B-4052-BACC-45A6F457D099}">
          <x14:formula1>
            <xm:f>Drivers!$B$2:$B$21</xm:f>
          </x14:formula1>
          <xm:sqref>H3:J26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43D2-DEB7-4C1B-A59F-76A6C1EDAE87}">
  <dimension ref="A1:AA48"/>
  <sheetViews>
    <sheetView workbookViewId="0">
      <pane xSplit="1" ySplit="2" topLeftCell="B3" activePane="bottomRight" state="frozen"/>
      <selection pane="topRight" activeCell="D1" sqref="D1"/>
      <selection pane="bottomLeft" activeCell="A4" sqref="A4"/>
      <selection pane="bottomRight" activeCell="B42" sqref="B42"/>
    </sheetView>
  </sheetViews>
  <sheetFormatPr defaultRowHeight="14.4" x14ac:dyDescent="0.3"/>
  <cols>
    <col min="1" max="1" width="20.21875" style="3" bestFit="1" customWidth="1"/>
    <col min="2" max="25" width="5.6640625" style="9" customWidth="1"/>
    <col min="26" max="27" width="4.77734375" style="3" bestFit="1" customWidth="1"/>
    <col min="28" max="16384" width="8.88671875" style="3"/>
  </cols>
  <sheetData>
    <row r="1" spans="1:27" s="6" customFormat="1" ht="130.19999999999999" x14ac:dyDescent="0.3">
      <c r="A1" s="2" t="s">
        <v>9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93</v>
      </c>
      <c r="J1" s="5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99</v>
      </c>
      <c r="P1" s="5" t="s">
        <v>100</v>
      </c>
      <c r="Q1" s="5" t="s">
        <v>101</v>
      </c>
      <c r="R1" s="5" t="s">
        <v>102</v>
      </c>
      <c r="S1" s="5" t="s">
        <v>103</v>
      </c>
      <c r="T1" s="5" t="s">
        <v>104</v>
      </c>
      <c r="U1" s="5" t="s">
        <v>105</v>
      </c>
      <c r="V1" s="5" t="s">
        <v>106</v>
      </c>
      <c r="W1" s="5" t="s">
        <v>107</v>
      </c>
      <c r="X1" s="5" t="s">
        <v>108</v>
      </c>
      <c r="Y1" s="5" t="s">
        <v>109</v>
      </c>
    </row>
    <row r="2" spans="1:27" x14ac:dyDescent="0.3">
      <c r="B2" s="7" t="s">
        <v>3</v>
      </c>
      <c r="C2" s="7" t="s">
        <v>3</v>
      </c>
      <c r="D2" s="7" t="s">
        <v>3</v>
      </c>
      <c r="E2" s="7" t="s">
        <v>3</v>
      </c>
      <c r="F2" s="7" t="s">
        <v>3</v>
      </c>
      <c r="G2" s="7" t="s">
        <v>3</v>
      </c>
      <c r="H2" s="7" t="s">
        <v>3</v>
      </c>
      <c r="I2" s="7" t="s">
        <v>3</v>
      </c>
      <c r="J2" s="7" t="s">
        <v>3</v>
      </c>
      <c r="K2" s="7" t="s">
        <v>3</v>
      </c>
      <c r="L2" s="7" t="s">
        <v>3</v>
      </c>
      <c r="M2" s="7" t="s">
        <v>3</v>
      </c>
      <c r="N2" s="7" t="s">
        <v>3</v>
      </c>
      <c r="O2" s="7" t="s">
        <v>3</v>
      </c>
      <c r="P2" s="7" t="s">
        <v>3</v>
      </c>
      <c r="Q2" s="7" t="s">
        <v>3</v>
      </c>
      <c r="R2" s="7" t="s">
        <v>3</v>
      </c>
      <c r="S2" s="7" t="s">
        <v>3</v>
      </c>
      <c r="T2" s="7" t="s">
        <v>3</v>
      </c>
      <c r="U2" s="7" t="s">
        <v>3</v>
      </c>
      <c r="V2" s="7" t="s">
        <v>3</v>
      </c>
      <c r="W2" s="7" t="s">
        <v>3</v>
      </c>
      <c r="X2" s="7" t="s">
        <v>3</v>
      </c>
      <c r="Y2" s="7" t="s">
        <v>3</v>
      </c>
      <c r="Z2" s="8"/>
      <c r="AA2" s="8"/>
    </row>
    <row r="3" spans="1:27" x14ac:dyDescent="0.3">
      <c r="A3" s="3" t="s">
        <v>27</v>
      </c>
      <c r="B3" s="9">
        <v>19</v>
      </c>
    </row>
    <row r="4" spans="1:27" x14ac:dyDescent="0.3">
      <c r="A4" s="3" t="s">
        <v>29</v>
      </c>
      <c r="B4" s="9">
        <v>7</v>
      </c>
    </row>
    <row r="5" spans="1:27" x14ac:dyDescent="0.3">
      <c r="A5" s="3" t="s">
        <v>31</v>
      </c>
      <c r="B5" s="9">
        <v>3</v>
      </c>
    </row>
    <row r="6" spans="1:27" x14ac:dyDescent="0.3">
      <c r="A6" s="3" t="s">
        <v>22</v>
      </c>
      <c r="B6" s="9">
        <v>2</v>
      </c>
    </row>
    <row r="7" spans="1:27" x14ac:dyDescent="0.3">
      <c r="A7" s="3" t="s">
        <v>115</v>
      </c>
      <c r="B7" s="9">
        <v>12</v>
      </c>
    </row>
    <row r="8" spans="1:27" x14ac:dyDescent="0.3">
      <c r="A8" s="3" t="s">
        <v>32</v>
      </c>
      <c r="B8" s="9">
        <v>13</v>
      </c>
    </row>
    <row r="9" spans="1:27" x14ac:dyDescent="0.3">
      <c r="A9" s="3" t="s">
        <v>19</v>
      </c>
    </row>
    <row r="10" spans="1:27" x14ac:dyDescent="0.3">
      <c r="A10" s="3" t="s">
        <v>23</v>
      </c>
      <c r="B10" s="9">
        <v>11</v>
      </c>
    </row>
    <row r="11" spans="1:27" x14ac:dyDescent="0.3">
      <c r="A11" s="3" t="s">
        <v>116</v>
      </c>
      <c r="B11" s="9">
        <v>10</v>
      </c>
    </row>
    <row r="12" spans="1:27" x14ac:dyDescent="0.3">
      <c r="A12" s="3" t="s">
        <v>18</v>
      </c>
      <c r="B12" s="9">
        <v>18</v>
      </c>
    </row>
    <row r="13" spans="1:27" x14ac:dyDescent="0.3">
      <c r="A13" s="3" t="s">
        <v>117</v>
      </c>
      <c r="B13" s="9">
        <v>20</v>
      </c>
    </row>
    <row r="14" spans="1:27" x14ac:dyDescent="0.3">
      <c r="A14" s="3" t="s">
        <v>28</v>
      </c>
      <c r="B14" s="9">
        <v>6</v>
      </c>
    </row>
    <row r="15" spans="1:27" x14ac:dyDescent="0.3">
      <c r="A15" s="3" t="s">
        <v>118</v>
      </c>
      <c r="B15" s="9">
        <v>8</v>
      </c>
    </row>
    <row r="16" spans="1:27" x14ac:dyDescent="0.3">
      <c r="A16" s="3" t="s">
        <v>30</v>
      </c>
      <c r="B16" s="9">
        <v>4</v>
      </c>
    </row>
    <row r="17" spans="1:25" x14ac:dyDescent="0.3">
      <c r="A17" s="3" t="s">
        <v>21</v>
      </c>
      <c r="B17" s="9">
        <v>1</v>
      </c>
    </row>
    <row r="18" spans="1:25" x14ac:dyDescent="0.3">
      <c r="A18" s="3" t="s">
        <v>33</v>
      </c>
      <c r="B18" s="9">
        <v>15</v>
      </c>
    </row>
    <row r="19" spans="1:25" x14ac:dyDescent="0.3">
      <c r="A19" s="3" t="s">
        <v>119</v>
      </c>
      <c r="B19" s="9">
        <v>5</v>
      </c>
    </row>
    <row r="20" spans="1:25" x14ac:dyDescent="0.3">
      <c r="A20" s="3" t="s">
        <v>20</v>
      </c>
      <c r="B20" s="9">
        <v>21</v>
      </c>
    </row>
    <row r="21" spans="1:25" x14ac:dyDescent="0.3">
      <c r="A21" s="3" t="s">
        <v>24</v>
      </c>
      <c r="B21" s="9">
        <v>14</v>
      </c>
    </row>
    <row r="22" spans="1:25" x14ac:dyDescent="0.3">
      <c r="A22" s="3" t="s">
        <v>25</v>
      </c>
      <c r="B22" s="9">
        <v>9</v>
      </c>
    </row>
    <row r="23" spans="1:25" x14ac:dyDescent="0.3">
      <c r="A23" s="3" t="s">
        <v>120</v>
      </c>
      <c r="B23" s="9">
        <v>16</v>
      </c>
    </row>
    <row r="24" spans="1:25" x14ac:dyDescent="0.3">
      <c r="A24" s="3" t="s">
        <v>121</v>
      </c>
      <c r="B24" s="9">
        <v>17</v>
      </c>
    </row>
    <row r="26" spans="1:25" x14ac:dyDescent="0.3">
      <c r="B26" s="10" t="s">
        <v>4</v>
      </c>
      <c r="C26" s="10" t="s">
        <v>4</v>
      </c>
      <c r="D26" s="10" t="s">
        <v>4</v>
      </c>
      <c r="E26" s="10" t="s">
        <v>4</v>
      </c>
      <c r="F26" s="10" t="s">
        <v>4</v>
      </c>
      <c r="G26" s="10" t="s">
        <v>4</v>
      </c>
      <c r="H26" s="10" t="s">
        <v>4</v>
      </c>
      <c r="I26" s="10" t="s">
        <v>4</v>
      </c>
      <c r="J26" s="10" t="s">
        <v>4</v>
      </c>
      <c r="K26" s="10" t="s">
        <v>4</v>
      </c>
      <c r="L26" s="10" t="s">
        <v>4</v>
      </c>
      <c r="M26" s="10" t="s">
        <v>4</v>
      </c>
      <c r="N26" s="10" t="s">
        <v>4</v>
      </c>
      <c r="O26" s="10" t="s">
        <v>4</v>
      </c>
      <c r="P26" s="10" t="s">
        <v>4</v>
      </c>
      <c r="Q26" s="10" t="s">
        <v>4</v>
      </c>
      <c r="R26" s="10" t="s">
        <v>4</v>
      </c>
      <c r="S26" s="10" t="s">
        <v>4</v>
      </c>
      <c r="T26" s="10" t="s">
        <v>4</v>
      </c>
      <c r="U26" s="10" t="s">
        <v>4</v>
      </c>
      <c r="V26" s="10" t="s">
        <v>4</v>
      </c>
      <c r="W26" s="10" t="s">
        <v>4</v>
      </c>
      <c r="X26" s="10" t="s">
        <v>4</v>
      </c>
      <c r="Y26" s="10" t="s">
        <v>4</v>
      </c>
    </row>
    <row r="27" spans="1:25" x14ac:dyDescent="0.3">
      <c r="A27" s="3" t="s">
        <v>27</v>
      </c>
      <c r="B27" s="9">
        <v>5</v>
      </c>
    </row>
    <row r="28" spans="1:25" x14ac:dyDescent="0.3">
      <c r="A28" s="3" t="s">
        <v>29</v>
      </c>
      <c r="B28" s="9">
        <v>1</v>
      </c>
    </row>
    <row r="29" spans="1:25" x14ac:dyDescent="0.3">
      <c r="A29" s="3" t="s">
        <v>31</v>
      </c>
      <c r="B29" s="9">
        <v>6</v>
      </c>
    </row>
    <row r="30" spans="1:25" x14ac:dyDescent="0.3">
      <c r="A30" s="3" t="s">
        <v>22</v>
      </c>
      <c r="B30" s="9">
        <v>4</v>
      </c>
    </row>
    <row r="31" spans="1:25" x14ac:dyDescent="0.3">
      <c r="A31" s="3" t="s">
        <v>115</v>
      </c>
      <c r="B31" s="9">
        <v>15</v>
      </c>
    </row>
    <row r="32" spans="1:25" x14ac:dyDescent="0.3">
      <c r="A32" s="3" t="s">
        <v>32</v>
      </c>
      <c r="B32" s="9">
        <v>13</v>
      </c>
    </row>
    <row r="33" spans="1:2" x14ac:dyDescent="0.3">
      <c r="A33" s="3" t="s">
        <v>19</v>
      </c>
      <c r="B33" s="9" t="s">
        <v>175</v>
      </c>
    </row>
    <row r="34" spans="1:2" x14ac:dyDescent="0.3">
      <c r="A34" s="3" t="s">
        <v>23</v>
      </c>
      <c r="B34" s="9">
        <v>11</v>
      </c>
    </row>
    <row r="35" spans="1:2" x14ac:dyDescent="0.3">
      <c r="A35" s="3" t="s">
        <v>116</v>
      </c>
      <c r="B35" s="9" t="s">
        <v>173</v>
      </c>
    </row>
    <row r="36" spans="1:2" x14ac:dyDescent="0.3">
      <c r="A36" s="3" t="s">
        <v>18</v>
      </c>
      <c r="B36" s="9">
        <v>10</v>
      </c>
    </row>
    <row r="37" spans="1:2" x14ac:dyDescent="0.3">
      <c r="A37" s="3" t="s">
        <v>117</v>
      </c>
      <c r="B37" s="9">
        <v>16</v>
      </c>
    </row>
    <row r="38" spans="1:2" x14ac:dyDescent="0.3">
      <c r="A38" s="3" t="s">
        <v>28</v>
      </c>
      <c r="B38" s="9" t="s">
        <v>173</v>
      </c>
    </row>
    <row r="39" spans="1:2" x14ac:dyDescent="0.3">
      <c r="A39" s="3" t="s">
        <v>118</v>
      </c>
      <c r="B39" s="9">
        <v>2</v>
      </c>
    </row>
    <row r="40" spans="1:2" x14ac:dyDescent="0.3">
      <c r="A40" s="3" t="s">
        <v>30</v>
      </c>
      <c r="B40" s="9" t="s">
        <v>175</v>
      </c>
    </row>
    <row r="41" spans="1:2" x14ac:dyDescent="0.3">
      <c r="A41" s="3" t="s">
        <v>21</v>
      </c>
      <c r="B41" s="9">
        <v>3</v>
      </c>
    </row>
    <row r="42" spans="1:2" x14ac:dyDescent="0.3">
      <c r="A42" s="3" t="s">
        <v>33</v>
      </c>
      <c r="B42" s="9">
        <v>12</v>
      </c>
    </row>
    <row r="43" spans="1:2" x14ac:dyDescent="0.3">
      <c r="A43" s="3" t="s">
        <v>119</v>
      </c>
      <c r="B43" s="9">
        <v>8</v>
      </c>
    </row>
    <row r="44" spans="1:2" x14ac:dyDescent="0.3">
      <c r="A44" s="3" t="s">
        <v>20</v>
      </c>
      <c r="B44" s="9" t="s">
        <v>174</v>
      </c>
    </row>
    <row r="45" spans="1:2" x14ac:dyDescent="0.3">
      <c r="A45" s="3" t="s">
        <v>24</v>
      </c>
      <c r="B45" s="9">
        <v>7</v>
      </c>
    </row>
    <row r="46" spans="1:2" x14ac:dyDescent="0.3">
      <c r="A46" s="3" t="s">
        <v>25</v>
      </c>
      <c r="B46" s="9">
        <v>9</v>
      </c>
    </row>
    <row r="47" spans="1:2" x14ac:dyDescent="0.3">
      <c r="A47" s="3" t="s">
        <v>120</v>
      </c>
      <c r="B47" s="9">
        <v>14</v>
      </c>
    </row>
    <row r="48" spans="1:2" x14ac:dyDescent="0.3">
      <c r="A48" s="3" t="s">
        <v>121</v>
      </c>
      <c r="B48" s="9" t="s">
        <v>175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11F0-CC47-46EC-A6D6-C461ECA1696D}">
  <dimension ref="A1:AC48"/>
  <sheetViews>
    <sheetView workbookViewId="0">
      <pane xSplit="4" ySplit="1" topLeftCell="E2" activePane="bottomRight" state="frozen"/>
      <selection pane="topRight" activeCell="F1" sqref="F1"/>
      <selection pane="bottomLeft" activeCell="A4" sqref="A4"/>
      <selection pane="bottomRight" activeCell="C52" sqref="C52"/>
    </sheetView>
  </sheetViews>
  <sheetFormatPr defaultRowHeight="13.8" outlineLevelCol="1" x14ac:dyDescent="0.3"/>
  <cols>
    <col min="1" max="1" width="16" style="34" bestFit="1" customWidth="1"/>
    <col min="2" max="2" width="7.44140625" style="26" bestFit="1" customWidth="1"/>
    <col min="3" max="3" width="26.6640625" style="14" customWidth="1" outlineLevel="1"/>
    <col min="4" max="4" width="41.88671875" style="14" customWidth="1" outlineLevel="1"/>
    <col min="5" max="5" width="8.5546875" style="26" bestFit="1" customWidth="1"/>
    <col min="6" max="28" width="8.5546875" style="15" bestFit="1" customWidth="1"/>
    <col min="29" max="29" width="7" style="15" bestFit="1" customWidth="1"/>
    <col min="30" max="16384" width="8.88671875" style="15"/>
  </cols>
  <sheetData>
    <row r="1" spans="1:29" s="13" customFormat="1" ht="129.6" thickBot="1" x14ac:dyDescent="0.35">
      <c r="A1" s="32" t="s">
        <v>9</v>
      </c>
      <c r="B1" s="24" t="s">
        <v>2</v>
      </c>
      <c r="C1" s="8" t="s">
        <v>13</v>
      </c>
      <c r="D1" s="8" t="s">
        <v>1</v>
      </c>
      <c r="E1" s="11" t="s">
        <v>86</v>
      </c>
      <c r="F1" s="11" t="s">
        <v>87</v>
      </c>
      <c r="G1" s="11" t="s">
        <v>88</v>
      </c>
      <c r="H1" s="11" t="s">
        <v>89</v>
      </c>
      <c r="I1" s="11" t="s">
        <v>90</v>
      </c>
      <c r="J1" s="11" t="s">
        <v>91</v>
      </c>
      <c r="K1" s="11" t="s">
        <v>92</v>
      </c>
      <c r="L1" s="11" t="s">
        <v>93</v>
      </c>
      <c r="M1" s="11" t="s">
        <v>94</v>
      </c>
      <c r="N1" s="11" t="s">
        <v>95</v>
      </c>
      <c r="O1" s="11" t="s">
        <v>96</v>
      </c>
      <c r="P1" s="11" t="s">
        <v>97</v>
      </c>
      <c r="Q1" s="11" t="s">
        <v>98</v>
      </c>
      <c r="R1" s="11" t="s">
        <v>99</v>
      </c>
      <c r="S1" s="11" t="s">
        <v>100</v>
      </c>
      <c r="T1" s="11" t="s">
        <v>101</v>
      </c>
      <c r="U1" s="11" t="s">
        <v>102</v>
      </c>
      <c r="V1" s="11" t="s">
        <v>103</v>
      </c>
      <c r="W1" s="11" t="s">
        <v>104</v>
      </c>
      <c r="X1" s="11" t="s">
        <v>105</v>
      </c>
      <c r="Y1" s="11" t="s">
        <v>106</v>
      </c>
      <c r="Z1" s="11" t="s">
        <v>107</v>
      </c>
      <c r="AA1" s="11" t="s">
        <v>108</v>
      </c>
      <c r="AB1" s="11" t="s">
        <v>109</v>
      </c>
    </row>
    <row r="2" spans="1:29" s="13" customFormat="1" ht="14.4" x14ac:dyDescent="0.3">
      <c r="A2" s="32"/>
      <c r="B2" s="24"/>
      <c r="C2" s="8"/>
      <c r="D2" s="8"/>
      <c r="E2" s="29" t="s">
        <v>122</v>
      </c>
      <c r="F2" s="12" t="s">
        <v>122</v>
      </c>
      <c r="G2" s="12" t="s">
        <v>122</v>
      </c>
      <c r="H2" s="12" t="s">
        <v>122</v>
      </c>
      <c r="I2" s="12" t="s">
        <v>122</v>
      </c>
      <c r="J2" s="12" t="s">
        <v>122</v>
      </c>
      <c r="K2" s="12" t="s">
        <v>122</v>
      </c>
      <c r="L2" s="12" t="s">
        <v>122</v>
      </c>
      <c r="M2" s="12" t="s">
        <v>122</v>
      </c>
      <c r="N2" s="12" t="s">
        <v>122</v>
      </c>
      <c r="O2" s="12" t="s">
        <v>122</v>
      </c>
      <c r="P2" s="12" t="s">
        <v>122</v>
      </c>
      <c r="Q2" s="12" t="s">
        <v>122</v>
      </c>
      <c r="R2" s="12" t="s">
        <v>122</v>
      </c>
      <c r="S2" s="12" t="s">
        <v>122</v>
      </c>
      <c r="T2" s="12" t="s">
        <v>122</v>
      </c>
      <c r="U2" s="12" t="s">
        <v>122</v>
      </c>
      <c r="V2" s="12" t="s">
        <v>122</v>
      </c>
      <c r="W2" s="12" t="s">
        <v>122</v>
      </c>
      <c r="X2" s="12" t="s">
        <v>122</v>
      </c>
      <c r="Y2" s="12" t="s">
        <v>122</v>
      </c>
      <c r="Z2" s="12" t="s">
        <v>122</v>
      </c>
      <c r="AA2" s="12" t="s">
        <v>122</v>
      </c>
      <c r="AB2" s="12" t="s">
        <v>122</v>
      </c>
    </row>
    <row r="3" spans="1:29" ht="14.4" x14ac:dyDescent="0.3">
      <c r="A3" s="33" t="s">
        <v>18</v>
      </c>
      <c r="B3" s="25" cm="1">
        <f t="array" ref="B3">_xlfn._xlws.FILTER(Drivers!D:D,Drivers!B:B=Table6[[#This Row],[Driver]],0)</f>
        <v>10</v>
      </c>
      <c r="C3" s="23" t="str">
        <f>_xlfn.XLOOKUP(A3,Constructor!$C$2:$C$23,Constructor!$B$2:$B$23,"")</f>
        <v>Alpine-Mercedes</v>
      </c>
      <c r="D3" s="23" t="str">
        <f>_xlfn.XLOOKUP(A3,Constructor!$C$2:$C$23,Constructor!$A$2:$A$23,"")</f>
        <v>France BWT Alpine F1 Team</v>
      </c>
      <c r="E3" s="27">
        <v>3.7679999999999998</v>
      </c>
      <c r="F3" s="21"/>
      <c r="G3" s="21"/>
      <c r="H3" s="21"/>
      <c r="I3" s="21"/>
      <c r="J3" s="21"/>
      <c r="K3" s="21"/>
      <c r="L3" s="21"/>
    </row>
    <row r="4" spans="1:29" ht="14.4" x14ac:dyDescent="0.3">
      <c r="A4" s="33" t="s">
        <v>120</v>
      </c>
      <c r="B4" s="25" cm="1">
        <f t="array" ref="B4">_xlfn._xlws.FILTER(Drivers!D:D,Drivers!B:B=Table6[[#This Row],[Driver]],0)</f>
        <v>43</v>
      </c>
      <c r="C4" s="23" t="str">
        <f>_xlfn.XLOOKUP(A4,Constructor!$C$2:$C$23,Constructor!$B$2:$B$23,"")</f>
        <v>Alpine-Mercedes</v>
      </c>
      <c r="D4" s="23" t="str">
        <f>_xlfn.XLOOKUP(A4,Constructor!$C$2:$C$23,Constructor!$A$2:$A$23,"")</f>
        <v>France BWT Alpine F1 Team</v>
      </c>
      <c r="E4" s="27">
        <v>3.0579999999999998</v>
      </c>
      <c r="F4" s="21"/>
      <c r="G4" s="21"/>
      <c r="H4" s="21"/>
      <c r="I4" s="21"/>
      <c r="J4" s="21"/>
      <c r="K4" s="21"/>
      <c r="L4" s="21"/>
    </row>
    <row r="5" spans="1:29" ht="14.4" x14ac:dyDescent="0.3">
      <c r="A5" s="33" t="s">
        <v>19</v>
      </c>
      <c r="B5" s="25" cm="1">
        <f t="array" ref="B5">_xlfn._xlws.FILTER(Drivers!D:D,Drivers!B:B=Table6[[#This Row],[Driver]],0)</f>
        <v>14</v>
      </c>
      <c r="C5" s="23" t="str">
        <f>_xlfn.XLOOKUP(A5,Constructor!$C$2:$C$23,Constructor!$B$2:$B$23,"")</f>
        <v>Aston Martin Aramco-Honda</v>
      </c>
      <c r="D5" s="23" t="str">
        <f>_xlfn.XLOOKUP(A5,Constructor!$C$2:$C$23,Constructor!$A$2:$A$23,"")</f>
        <v>United Kingdom Aston Martin Aramco F1 Team</v>
      </c>
      <c r="E5" s="27">
        <v>0</v>
      </c>
      <c r="F5" s="21"/>
      <c r="G5" s="21"/>
      <c r="H5" s="21"/>
      <c r="I5" s="21"/>
      <c r="J5" s="21"/>
      <c r="K5" s="21"/>
      <c r="L5" s="21"/>
    </row>
    <row r="6" spans="1:29" ht="14.4" x14ac:dyDescent="0.3">
      <c r="A6" s="33" t="s">
        <v>20</v>
      </c>
      <c r="B6" s="25" cm="1">
        <f t="array" ref="B6">_xlfn._xlws.FILTER(Drivers!D:D,Drivers!B:B=Table6[[#This Row],[Driver]],0)</f>
        <v>18</v>
      </c>
      <c r="C6" s="23" t="str">
        <f>_xlfn.XLOOKUP(A6,Constructor!$C$2:$C$23,Constructor!$B$2:$B$23,"")</f>
        <v>Aston Martin Aramco-Honda</v>
      </c>
      <c r="D6" s="23" t="str">
        <f>_xlfn.XLOOKUP(A6,Constructor!$C$2:$C$23,Constructor!$A$2:$A$23,"")</f>
        <v>United Kingdom Aston Martin Aramco F1 Team</v>
      </c>
      <c r="E6" s="27">
        <v>30.067</v>
      </c>
      <c r="F6" s="21"/>
      <c r="G6" s="21"/>
      <c r="H6" s="21"/>
      <c r="I6" s="21"/>
      <c r="J6" s="21"/>
      <c r="K6" s="21"/>
      <c r="L6" s="21"/>
    </row>
    <row r="7" spans="1:29" ht="14.4" x14ac:dyDescent="0.3">
      <c r="A7" s="33" t="s">
        <v>33</v>
      </c>
      <c r="B7" s="25" cm="1">
        <f t="array" ref="B7">_xlfn._xlws.FILTER(Drivers!D:D,Drivers!B:B=Table6[[#This Row],[Driver]],0)</f>
        <v>23</v>
      </c>
      <c r="C7" s="23" t="str">
        <f>_xlfn.XLOOKUP(A7,Constructor!$C$2:$C$23,Constructor!$B$2:$B$23,"")</f>
        <v>Atlassian Williams-Mercedes</v>
      </c>
      <c r="D7" s="23" t="str">
        <f>_xlfn.XLOOKUP(A7,Constructor!$C$2:$C$23,Constructor!$A$2:$A$23,"")</f>
        <v>United Kingdom Atlassian Williams F1 Team</v>
      </c>
      <c r="E7" s="27">
        <v>2.863</v>
      </c>
      <c r="F7" s="21"/>
      <c r="G7" s="21"/>
      <c r="H7" s="21"/>
      <c r="I7" s="21"/>
      <c r="J7" s="21"/>
      <c r="K7" s="21"/>
      <c r="L7" s="21"/>
    </row>
    <row r="8" spans="1:29" ht="14.4" x14ac:dyDescent="0.3">
      <c r="A8" s="33" t="s">
        <v>34</v>
      </c>
      <c r="B8" s="25" cm="1">
        <f t="array" ref="B8">_xlfn._xlws.FILTER(Drivers!D:D,Drivers!B:B=Table6[[#This Row],[Driver]],0)</f>
        <v>55</v>
      </c>
      <c r="C8" s="23" t="str">
        <f>_xlfn.XLOOKUP(A8,Constructor!$C$2:$C$23,Constructor!$B$2:$B$23,"")</f>
        <v>Atlassian Williams-Mercedes</v>
      </c>
      <c r="D8" s="23" t="str">
        <f>_xlfn.XLOOKUP(A8,Constructor!$C$2:$C$23,Constructor!$A$2:$A$23,"")</f>
        <v>United Kingdom Atlassian Williams F1 Team</v>
      </c>
      <c r="E8" s="27">
        <v>2.056</v>
      </c>
      <c r="F8" s="21"/>
      <c r="G8" s="21"/>
      <c r="H8" s="21"/>
      <c r="I8" s="21"/>
      <c r="J8" s="21"/>
      <c r="K8" s="21"/>
      <c r="L8" s="21"/>
    </row>
    <row r="9" spans="1:29" ht="14.4" x14ac:dyDescent="0.3">
      <c r="A9" s="33" t="s">
        <v>25</v>
      </c>
      <c r="B9" s="25" cm="1">
        <f t="array" ref="B9">_xlfn._xlws.FILTER(Drivers!D:D,Drivers!B:B=Table6[[#This Row],[Driver]],0)</f>
        <v>5</v>
      </c>
      <c r="C9" s="23" t="str">
        <f>_xlfn.XLOOKUP(A9,Constructor!$C$2:$C$23,Constructor!$B$2:$B$23,"")</f>
        <v>Audi</v>
      </c>
      <c r="D9" s="23" t="str">
        <f>_xlfn.XLOOKUP(A9,Constructor!$C$2:$C$23,Constructor!$A$2:$A$23,"")</f>
        <v>Germany Audi Revolut F1 Team</v>
      </c>
      <c r="E9" s="27">
        <v>1.429</v>
      </c>
      <c r="F9" s="21"/>
      <c r="G9" s="21"/>
      <c r="H9" s="21"/>
      <c r="I9" s="21"/>
      <c r="J9" s="21"/>
      <c r="K9" s="21"/>
      <c r="L9" s="21"/>
    </row>
    <row r="10" spans="1:29" ht="14.4" x14ac:dyDescent="0.3">
      <c r="A10" s="33" t="s">
        <v>26</v>
      </c>
      <c r="B10" s="25" cm="1">
        <f t="array" ref="B10">_xlfn._xlws.FILTER(Drivers!D:D,Drivers!B:B=Table6[[#This Row],[Driver]],0)</f>
        <v>27</v>
      </c>
      <c r="C10" s="23" t="str">
        <f>_xlfn.XLOOKUP(A10,Constructor!$C$2:$C$23,Constructor!$B$2:$B$23,"")</f>
        <v>Audi</v>
      </c>
      <c r="D10" s="23" t="str">
        <f>_xlfn.XLOOKUP(A10,Constructor!$C$2:$C$23,Constructor!$A$2:$A$23,"")</f>
        <v>Germany Audi Revolut F1 Team</v>
      </c>
      <c r="E10" s="27">
        <v>1.702</v>
      </c>
      <c r="F10" s="21"/>
      <c r="G10" s="21"/>
      <c r="H10" s="21"/>
      <c r="I10" s="21"/>
      <c r="J10" s="21"/>
      <c r="K10" s="21"/>
      <c r="L10" s="21"/>
    </row>
    <row r="11" spans="1:29" ht="14.4" x14ac:dyDescent="0.3">
      <c r="A11" s="33" t="s">
        <v>117</v>
      </c>
      <c r="B11" s="25" cm="1">
        <f t="array" ref="B11">_xlfn._xlws.FILTER(Drivers!D:D,Drivers!B:B=Table6[[#This Row],[Driver]],0)</f>
        <v>11</v>
      </c>
      <c r="C11" s="23" t="str">
        <f>_xlfn.XLOOKUP(A11,Constructor!$C$2:$C$23,Constructor!$B$2:$B$23,"")</f>
        <v>Cadillac-Ferrari</v>
      </c>
      <c r="D11" s="23" t="str">
        <f>_xlfn.XLOOKUP(A11,Constructor!$C$2:$C$23,Constructor!$A$2:$A$23,"")</f>
        <v>United States Cadillac Formula 1 Team</v>
      </c>
      <c r="E11" s="27">
        <v>4.3529999999999998</v>
      </c>
      <c r="F11" s="21"/>
      <c r="G11" s="21"/>
      <c r="H11" s="21"/>
      <c r="I11" s="21"/>
      <c r="J11" s="21"/>
      <c r="K11" s="21"/>
      <c r="L11" s="21"/>
    </row>
    <row r="12" spans="1:29" ht="14.4" x14ac:dyDescent="0.3">
      <c r="A12" s="33" t="s">
        <v>121</v>
      </c>
      <c r="B12" s="25" cm="1">
        <f t="array" ref="B12">_xlfn._xlws.FILTER(Drivers!D:D,Drivers!B:B=Table6[[#This Row],[Driver]],0)</f>
        <v>77</v>
      </c>
      <c r="C12" s="23" t="str">
        <f>_xlfn.XLOOKUP(A12,Constructor!$C$2:$C$23,Constructor!$B$2:$B$23,"")</f>
        <v>Cadillac-Ferrari</v>
      </c>
      <c r="D12" s="23" t="str">
        <f>_xlfn.XLOOKUP(A12,Constructor!$C$2:$C$23,Constructor!$A$2:$A$23,"")</f>
        <v>United States Cadillac Formula 1 Team</v>
      </c>
      <c r="E12" s="27">
        <v>3.7549999999999999</v>
      </c>
      <c r="F12" s="21"/>
      <c r="G12" s="21"/>
      <c r="H12" s="21"/>
      <c r="I12" s="21"/>
      <c r="J12" s="21"/>
      <c r="K12" s="21"/>
      <c r="L12" s="21"/>
    </row>
    <row r="13" spans="1:29" ht="14.4" x14ac:dyDescent="0.3">
      <c r="A13" s="33" t="s">
        <v>21</v>
      </c>
      <c r="B13" s="25" cm="1">
        <f t="array" ref="B13">_xlfn._xlws.FILTER(Drivers!D:D,Drivers!B:B=Table6[[#This Row],[Driver]],0)</f>
        <v>16</v>
      </c>
      <c r="C13" s="23" t="str">
        <f>_xlfn.XLOOKUP(A13,Constructor!$C$2:$C$23,Constructor!$B$2:$B$23,"")</f>
        <v>Ferrari</v>
      </c>
      <c r="D13" s="23" t="str">
        <f>_xlfn.XLOOKUP(A13,Constructor!$C$2:$C$23,Constructor!$A$2:$A$23,"")</f>
        <v>Italy Scuderia Ferrari HP</v>
      </c>
      <c r="E13" s="21">
        <v>9.2901620370370371E-4</v>
      </c>
      <c r="F13" s="21"/>
      <c r="G13" s="21"/>
      <c r="H13" s="21"/>
      <c r="I13" s="21"/>
      <c r="J13" s="21"/>
      <c r="K13" s="21"/>
      <c r="L13" s="21"/>
      <c r="AC13" s="28">
        <f>Table6[[#This Row],[Australian Grand Prix]]+E14</f>
        <v>0.4699290162037037</v>
      </c>
    </row>
    <row r="14" spans="1:29" ht="14.4" x14ac:dyDescent="0.3">
      <c r="A14" s="33" t="s">
        <v>22</v>
      </c>
      <c r="B14" s="25" cm="1">
        <f t="array" ref="B14">_xlfn._xlws.FILTER(Drivers!D:D,Drivers!B:B=Table6[[#This Row],[Driver]],0)</f>
        <v>44</v>
      </c>
      <c r="C14" s="23" t="str">
        <f>_xlfn.XLOOKUP(A14,Constructor!$C$2:$C$23,Constructor!$B$2:$B$23,"")</f>
        <v>Ferrari</v>
      </c>
      <c r="D14" s="23" t="str">
        <f>_xlfn.XLOOKUP(A14,Constructor!$C$2:$C$23,Constructor!$A$2:$A$23,"")</f>
        <v>Italy Scuderia Ferrari HP</v>
      </c>
      <c r="E14" s="27">
        <v>0.46899999999999997</v>
      </c>
      <c r="F14" s="21"/>
      <c r="G14" s="21"/>
      <c r="H14" s="21"/>
      <c r="I14" s="21"/>
      <c r="J14" s="21"/>
      <c r="K14" s="21"/>
      <c r="L14" s="21"/>
    </row>
    <row r="15" spans="1:29" ht="14.4" x14ac:dyDescent="0.3">
      <c r="A15" s="33" t="s">
        <v>23</v>
      </c>
      <c r="B15" s="25" cm="1">
        <f t="array" ref="B15">_xlfn._xlws.FILTER(Drivers!D:D,Drivers!B:B=Table6[[#This Row],[Driver]],0)</f>
        <v>31</v>
      </c>
      <c r="C15" s="23" t="str">
        <f>_xlfn.XLOOKUP(A15,Constructor!$C$2:$C$23,Constructor!$B$2:$B$23,"")</f>
        <v>Haas-Ferrari</v>
      </c>
      <c r="D15" s="23" t="str">
        <f>_xlfn.XLOOKUP(A15,Constructor!$C$2:$C$23,Constructor!$A$2:$A$23,"")</f>
        <v>United States TGR Haas F1 Team</v>
      </c>
      <c r="E15" s="27">
        <v>1.8939999999999999</v>
      </c>
      <c r="F15" s="21"/>
      <c r="G15" s="21"/>
      <c r="H15" s="21"/>
      <c r="I15" s="21"/>
      <c r="J15" s="21"/>
      <c r="K15" s="21"/>
      <c r="L15" s="21"/>
    </row>
    <row r="16" spans="1:29" ht="14.4" x14ac:dyDescent="0.3">
      <c r="A16" s="33" t="s">
        <v>24</v>
      </c>
      <c r="B16" s="25" cm="1">
        <f t="array" ref="B16">_xlfn._xlws.FILTER(Drivers!D:D,Drivers!B:B=Table6[[#This Row],[Driver]],0)</f>
        <v>87</v>
      </c>
      <c r="C16" s="23" t="str">
        <f>_xlfn.XLOOKUP(A16,Constructor!$C$2:$C$23,Constructor!$B$2:$B$23,"")</f>
        <v>Haas-Ferrari</v>
      </c>
      <c r="D16" s="23" t="str">
        <f>_xlfn.XLOOKUP(A16,Constructor!$C$2:$C$23,Constructor!$A$2:$A$23,"")</f>
        <v>United States TGR Haas F1 Team</v>
      </c>
      <c r="E16" s="27">
        <v>2.415</v>
      </c>
      <c r="F16" s="21"/>
      <c r="G16" s="21"/>
      <c r="H16" s="21"/>
      <c r="I16" s="21"/>
      <c r="J16" s="21"/>
      <c r="K16" s="21"/>
      <c r="L16" s="21"/>
    </row>
    <row r="17" spans="1:28" ht="14.4" x14ac:dyDescent="0.3">
      <c r="A17" s="33" t="s">
        <v>27</v>
      </c>
      <c r="B17" s="25" cm="1">
        <f t="array" ref="B17">_xlfn._xlws.FILTER(Drivers!D:D,Drivers!B:B=Table6[[#This Row],[Driver]],0)</f>
        <v>1</v>
      </c>
      <c r="C17" s="23" t="str">
        <f>_xlfn.XLOOKUP(A17,Constructor!$C$2:$C$23,Constructor!$B$2:$B$23,"")</f>
        <v>McLaren-Mercedes</v>
      </c>
      <c r="D17" s="23" t="str">
        <f>_xlfn.XLOOKUP(A17,Constructor!$C$2:$C$23,Constructor!$A$2:$A$23,"")</f>
        <v>United Kingdom McLaren Mastercard F1 Team</v>
      </c>
      <c r="E17" s="27">
        <v>4.1239999999999997</v>
      </c>
      <c r="F17" s="21"/>
      <c r="G17" s="21"/>
      <c r="H17" s="21"/>
      <c r="I17" s="21"/>
      <c r="J17" s="21"/>
      <c r="K17" s="21"/>
      <c r="L17" s="21"/>
    </row>
    <row r="18" spans="1:28" ht="14.4" x14ac:dyDescent="0.3">
      <c r="A18" s="33" t="s">
        <v>28</v>
      </c>
      <c r="B18" s="25" cm="1">
        <f t="array" ref="B18">_xlfn._xlws.FILTER(Drivers!D:D,Drivers!B:B=Table6[[#This Row],[Driver]],0)</f>
        <v>81</v>
      </c>
      <c r="C18" s="23" t="str">
        <f>_xlfn.XLOOKUP(A18,Constructor!$C$2:$C$23,Constructor!$B$2:$B$23,"")</f>
        <v>McLaren-Mercedes</v>
      </c>
      <c r="D18" s="23" t="str">
        <f>_xlfn.XLOOKUP(A18,Constructor!$C$2:$C$23,Constructor!$A$2:$A$23,"")</f>
        <v>United Kingdom McLaren Mastercard F1 Team</v>
      </c>
      <c r="E18" s="27">
        <v>1.075</v>
      </c>
      <c r="F18" s="21"/>
      <c r="G18" s="21"/>
      <c r="H18" s="21"/>
      <c r="I18" s="21"/>
      <c r="J18" s="21"/>
      <c r="K18" s="21"/>
      <c r="L18" s="21"/>
    </row>
    <row r="19" spans="1:28" ht="14.4" x14ac:dyDescent="0.3">
      <c r="A19" s="33" t="s">
        <v>118</v>
      </c>
      <c r="B19" s="25" cm="1">
        <f t="array" ref="B19">_xlfn._xlws.FILTER(Drivers!D:D,Drivers!B:B=Table6[[#This Row],[Driver]],0)</f>
        <v>12</v>
      </c>
      <c r="C19" s="23" t="str">
        <f>_xlfn.XLOOKUP(A19,Constructor!$C$2:$C$23,Constructor!$B$2:$B$23,"")</f>
        <v>Mercedes</v>
      </c>
      <c r="D19" s="23" t="str">
        <f>_xlfn.XLOOKUP(A19,Constructor!$C$2:$C$23,Constructor!$A$2:$A$23,"")</f>
        <v>Germany Mercedes-AMG Petronas F1 Team</v>
      </c>
      <c r="E19" s="27">
        <v>1.109</v>
      </c>
      <c r="F19" s="21"/>
      <c r="G19" s="21"/>
      <c r="H19" s="21"/>
      <c r="I19" s="21"/>
      <c r="J19" s="21"/>
      <c r="K19" s="21"/>
      <c r="L19" s="21"/>
    </row>
    <row r="20" spans="1:28" ht="14.4" x14ac:dyDescent="0.3">
      <c r="A20" s="33" t="s">
        <v>29</v>
      </c>
      <c r="B20" s="25" cm="1">
        <f t="array" ref="B20">_xlfn._xlws.FILTER(Drivers!D:D,Drivers!B:B=Table6[[#This Row],[Driver]],0)</f>
        <v>63</v>
      </c>
      <c r="C20" s="23" t="str">
        <f>_xlfn.XLOOKUP(A20,Constructor!$C$2:$C$23,Constructor!$B$2:$B$23,"")</f>
        <v>Mercedes</v>
      </c>
      <c r="D20" s="23" t="str">
        <f>_xlfn.XLOOKUP(A20,Constructor!$C$2:$C$23,Constructor!$A$2:$A$23,"")</f>
        <v>Germany Mercedes-AMG Petronas F1 Team</v>
      </c>
      <c r="E20" s="27">
        <v>1.1040000000000001</v>
      </c>
      <c r="F20" s="21"/>
      <c r="G20" s="21"/>
      <c r="H20" s="21"/>
      <c r="I20" s="21"/>
      <c r="J20" s="21"/>
      <c r="K20" s="21"/>
      <c r="L20" s="21"/>
    </row>
    <row r="21" spans="1:28" ht="14.4" x14ac:dyDescent="0.3">
      <c r="A21" s="33" t="s">
        <v>32</v>
      </c>
      <c r="B21" s="25" cm="1">
        <f t="array" ref="B21">_xlfn._xlws.FILTER(Drivers!D:D,Drivers!B:B=Table6[[#This Row],[Driver]],0)</f>
        <v>30</v>
      </c>
      <c r="C21" s="23" t="str">
        <f>_xlfn.XLOOKUP(A21,Constructor!$C$2:$C$23,Constructor!$B$2:$B$23,"")</f>
        <v>Racing Bulls-Red Bull Ford</v>
      </c>
      <c r="D21" s="23" t="str">
        <f>_xlfn.XLOOKUP(A21,Constructor!$C$2:$C$23,Constructor!$A$2:$A$23,"")</f>
        <v>Italy Visa Cash App Racing Bulls F1 Team</v>
      </c>
      <c r="E21" s="27">
        <v>2.3460000000000001</v>
      </c>
      <c r="F21" s="21"/>
      <c r="G21" s="21"/>
      <c r="H21" s="21"/>
      <c r="I21" s="21"/>
      <c r="J21" s="21"/>
      <c r="K21" s="21"/>
      <c r="L21" s="21"/>
    </row>
    <row r="22" spans="1:28" ht="14.4" x14ac:dyDescent="0.3">
      <c r="A22" s="33" t="s">
        <v>119</v>
      </c>
      <c r="B22" s="25" cm="1">
        <f t="array" ref="B22">_xlfn._xlws.FILTER(Drivers!D:D,Drivers!B:B=Table6[[#This Row],[Driver]],0)</f>
        <v>41</v>
      </c>
      <c r="C22" s="23" t="str">
        <f>_xlfn.XLOOKUP(A22,Constructor!$C$2:$C$23,Constructor!$B$2:$B$23,"")</f>
        <v>Racing Bulls-Red Bull Ford</v>
      </c>
      <c r="D22" s="23" t="str">
        <f>_xlfn.XLOOKUP(A22,Constructor!$C$2:$C$23,Constructor!$A$2:$A$23,"")</f>
        <v>Italy Visa Cash App Racing Bulls F1 Team</v>
      </c>
      <c r="E22" s="27">
        <v>1.046</v>
      </c>
      <c r="F22" s="21"/>
      <c r="G22" s="21"/>
      <c r="H22" s="21"/>
      <c r="I22" s="21"/>
      <c r="J22" s="21"/>
      <c r="K22" s="21"/>
      <c r="L22" s="21"/>
    </row>
    <row r="23" spans="1:28" ht="14.4" x14ac:dyDescent="0.3">
      <c r="A23" s="33" t="s">
        <v>31</v>
      </c>
      <c r="B23" s="25" cm="1">
        <f t="array" ref="B23">_xlfn._xlws.FILTER(Drivers!D:D,Drivers!B:B=Table6[[#This Row],[Driver]],0)</f>
        <v>3</v>
      </c>
      <c r="C23" s="23" t="str">
        <f>_xlfn.XLOOKUP(A23,Constructor!$C$2:$C$23,Constructor!$B$2:$B$23,"")</f>
        <v>Red Bull Racing-Red Bull Ford</v>
      </c>
      <c r="D23" s="23" t="str">
        <f>_xlfn.XLOOKUP(A23,Constructor!$C$2:$C$23,Constructor!$A$2:$A$23,"")</f>
        <v>Austria Oracle Red Bull Racing</v>
      </c>
      <c r="E23" s="27">
        <v>0.52200000000000002</v>
      </c>
    </row>
    <row r="24" spans="1:28" ht="14.4" x14ac:dyDescent="0.3">
      <c r="A24" s="33" t="s">
        <v>30</v>
      </c>
      <c r="B24" s="25" cm="1">
        <f t="array" ref="B24">_xlfn._xlws.FILTER(Drivers!D:D,Drivers!B:B=Table6[[#This Row],[Driver]],0)</f>
        <v>6</v>
      </c>
      <c r="C24" s="23" t="str">
        <f>_xlfn.XLOOKUP(A24,Constructor!$C$2:$C$23,Constructor!$B$2:$B$23,"")</f>
        <v>Red Bull Racing-Red Bull Ford</v>
      </c>
      <c r="D24" s="23" t="str">
        <f>_xlfn.XLOOKUP(A24,Constructor!$C$2:$C$23,Constructor!$A$2:$A$23,"")</f>
        <v>Austria Oracle Red Bull Racing</v>
      </c>
      <c r="E24" s="27">
        <v>0.82</v>
      </c>
    </row>
    <row r="25" spans="1:28" ht="14.4" x14ac:dyDescent="0.3">
      <c r="C25" s="23" t="str">
        <f>_xlfn.XLOOKUP(A25,Constructor!$C$2:$C$23,Constructor!$B$2:$B$23,"")</f>
        <v/>
      </c>
      <c r="D25" s="23" t="str">
        <f>_xlfn.XLOOKUP(A25,Constructor!$C$2:$C$23,Constructor!$A$2:$A$23,"")</f>
        <v/>
      </c>
    </row>
    <row r="26" spans="1:28" s="31" customFormat="1" x14ac:dyDescent="0.3">
      <c r="A26" s="35"/>
      <c r="B26" s="26"/>
      <c r="C26" s="26"/>
      <c r="D26" s="26"/>
      <c r="E26" s="30" t="s">
        <v>14</v>
      </c>
      <c r="F26" s="30" t="s">
        <v>14</v>
      </c>
      <c r="G26" s="30" t="s">
        <v>14</v>
      </c>
      <c r="H26" s="30" t="s">
        <v>14</v>
      </c>
      <c r="I26" s="30" t="s">
        <v>14</v>
      </c>
      <c r="J26" s="30" t="s">
        <v>14</v>
      </c>
      <c r="K26" s="30" t="s">
        <v>14</v>
      </c>
      <c r="L26" s="30" t="s">
        <v>14</v>
      </c>
      <c r="M26" s="30" t="s">
        <v>14</v>
      </c>
      <c r="N26" s="30" t="s">
        <v>14</v>
      </c>
      <c r="O26" s="30" t="s">
        <v>14</v>
      </c>
      <c r="P26" s="30" t="s">
        <v>14</v>
      </c>
      <c r="Q26" s="30" t="s">
        <v>14</v>
      </c>
      <c r="R26" s="30" t="s">
        <v>14</v>
      </c>
      <c r="S26" s="30" t="s">
        <v>14</v>
      </c>
      <c r="T26" s="30" t="s">
        <v>14</v>
      </c>
      <c r="U26" s="30" t="s">
        <v>14</v>
      </c>
      <c r="V26" s="30" t="s">
        <v>14</v>
      </c>
      <c r="W26" s="30" t="s">
        <v>14</v>
      </c>
      <c r="X26" s="30" t="s">
        <v>14</v>
      </c>
      <c r="Y26" s="30" t="s">
        <v>14</v>
      </c>
      <c r="Z26" s="30" t="s">
        <v>14</v>
      </c>
      <c r="AA26" s="30" t="s">
        <v>14</v>
      </c>
      <c r="AB26" s="30" t="s">
        <v>14</v>
      </c>
    </row>
    <row r="27" spans="1:28" ht="14.4" x14ac:dyDescent="0.3">
      <c r="A27" s="33" t="s">
        <v>18</v>
      </c>
      <c r="B27" s="25" cm="1">
        <f t="array" ref="B27">_xlfn._xlws.FILTER(Drivers!D:D,Drivers!B:B=Table6[[#This Row],[Driver]],0)</f>
        <v>10</v>
      </c>
      <c r="C27" s="23" t="str">
        <f>_xlfn.XLOOKUP(A27,Constructor!$C$2:$C$23,Constructor!$B$2:$B$23,"")</f>
        <v>Alpine-Mercedes</v>
      </c>
      <c r="D27" s="23" t="str">
        <f>_xlfn.XLOOKUP(A27,Constructor!$C$2:$C$23,Constructor!$A$2:$A$23,"")</f>
        <v>France BWT Alpine F1 Team</v>
      </c>
      <c r="E27" s="26" t="s">
        <v>181</v>
      </c>
    </row>
    <row r="28" spans="1:28" ht="14.4" x14ac:dyDescent="0.3">
      <c r="A28" s="33" t="s">
        <v>120</v>
      </c>
      <c r="B28" s="25" cm="1">
        <f t="array" ref="B28">_xlfn._xlws.FILTER(Drivers!D:D,Drivers!B:B=Table6[[#This Row],[Driver]],0)</f>
        <v>43</v>
      </c>
      <c r="C28" s="23" t="str">
        <f>_xlfn.XLOOKUP(A28,Constructor!$C$2:$C$23,Constructor!$B$2:$B$23,"")</f>
        <v>Alpine-Mercedes</v>
      </c>
      <c r="D28" s="23" t="str">
        <f>_xlfn.XLOOKUP(A28,Constructor!$C$2:$C$23,Constructor!$A$2:$A$23,"")</f>
        <v>France BWT Alpine F1 Team</v>
      </c>
      <c r="E28" s="26" t="s">
        <v>182</v>
      </c>
    </row>
    <row r="29" spans="1:28" ht="14.4" x14ac:dyDescent="0.3">
      <c r="A29" s="33" t="s">
        <v>19</v>
      </c>
      <c r="B29" s="25" cm="1">
        <f t="array" ref="B29">_xlfn._xlws.FILTER(Drivers!D:D,Drivers!B:B=Table6[[#This Row],[Driver]],0)</f>
        <v>14</v>
      </c>
      <c r="C29" s="23" t="str">
        <f>_xlfn.XLOOKUP(A29,Constructor!$C$2:$C$23,Constructor!$B$2:$B$23,"")</f>
        <v>Aston Martin Aramco-Honda</v>
      </c>
      <c r="D29" s="23" t="str">
        <f>_xlfn.XLOOKUP(A29,Constructor!$C$2:$C$23,Constructor!$A$2:$A$23,"")</f>
        <v>United Kingdom Aston Martin Aramco F1 Team</v>
      </c>
      <c r="E29" s="26" t="s">
        <v>185</v>
      </c>
    </row>
    <row r="30" spans="1:28" ht="14.4" x14ac:dyDescent="0.3">
      <c r="A30" s="33" t="s">
        <v>20</v>
      </c>
      <c r="B30" s="25" cm="1">
        <f t="array" ref="B30">_xlfn._xlws.FILTER(Drivers!D:D,Drivers!B:B=Table6[[#This Row],[Driver]],0)</f>
        <v>18</v>
      </c>
      <c r="C30" s="23" t="str">
        <f>_xlfn.XLOOKUP(A30,Constructor!$C$2:$C$23,Constructor!$B$2:$B$23,"")</f>
        <v>Aston Martin Aramco-Honda</v>
      </c>
      <c r="D30" s="23" t="str">
        <f>_xlfn.XLOOKUP(A30,Constructor!$C$2:$C$23,Constructor!$A$2:$A$23,"")</f>
        <v>United Kingdom Aston Martin Aramco F1 Team</v>
      </c>
      <c r="E30" s="26" t="s">
        <v>184</v>
      </c>
    </row>
    <row r="31" spans="1:28" ht="14.4" x14ac:dyDescent="0.3">
      <c r="A31" s="33" t="s">
        <v>33</v>
      </c>
      <c r="B31" s="25" cm="1">
        <f t="array" ref="B31">_xlfn._xlws.FILTER(Drivers!D:D,Drivers!B:B=Table6[[#This Row],[Driver]],0)</f>
        <v>23</v>
      </c>
      <c r="C31" s="23" t="str">
        <f>_xlfn.XLOOKUP(A31,Constructor!$C$2:$C$23,Constructor!$B$2:$B$23,"")</f>
        <v>Atlassian Williams-Mercedes</v>
      </c>
      <c r="D31" s="23" t="str">
        <f>_xlfn.XLOOKUP(A31,Constructor!$C$2:$C$23,Constructor!$A$2:$A$23,"")</f>
        <v>United Kingdom Atlassian Williams F1 Team</v>
      </c>
      <c r="E31" s="26" t="s">
        <v>181</v>
      </c>
    </row>
    <row r="32" spans="1:28" ht="14.4" x14ac:dyDescent="0.3">
      <c r="A32" s="33" t="s">
        <v>34</v>
      </c>
      <c r="B32" s="25" cm="1">
        <f t="array" ref="B32">_xlfn._xlws.FILTER(Drivers!D:D,Drivers!B:B=Table6[[#This Row],[Driver]],0)</f>
        <v>55</v>
      </c>
      <c r="C32" s="23" t="str">
        <f>_xlfn.XLOOKUP(A32,Constructor!$C$2:$C$23,Constructor!$B$2:$B$23,"")</f>
        <v>Atlassian Williams-Mercedes</v>
      </c>
      <c r="D32" s="23" t="str">
        <f>_xlfn.XLOOKUP(A32,Constructor!$C$2:$C$23,Constructor!$A$2:$A$23,"")</f>
        <v>United Kingdom Atlassian Williams F1 Team</v>
      </c>
      <c r="E32" s="26" t="s">
        <v>182</v>
      </c>
    </row>
    <row r="33" spans="1:5" ht="14.4" x14ac:dyDescent="0.3">
      <c r="A33" s="33" t="s">
        <v>25</v>
      </c>
      <c r="B33" s="25" cm="1">
        <f t="array" ref="B33">_xlfn._xlws.FILTER(Drivers!D:D,Drivers!B:B=Table6[[#This Row],[Driver]],0)</f>
        <v>5</v>
      </c>
      <c r="C33" s="23" t="str">
        <f>_xlfn.XLOOKUP(A33,Constructor!$C$2:$C$23,Constructor!$B$2:$B$23,"")</f>
        <v>Audi</v>
      </c>
      <c r="D33" s="23" t="str">
        <f>_xlfn.XLOOKUP(A33,Constructor!$C$2:$C$23,Constructor!$A$2:$A$23,"")</f>
        <v>Germany Audi Revolut F1 Team</v>
      </c>
      <c r="E33" s="26" t="s">
        <v>181</v>
      </c>
    </row>
    <row r="34" spans="1:5" ht="14.4" x14ac:dyDescent="0.3">
      <c r="A34" s="33" t="s">
        <v>26</v>
      </c>
      <c r="B34" s="25" cm="1">
        <f t="array" ref="B34">_xlfn._xlws.FILTER(Drivers!D:D,Drivers!B:B=Table6[[#This Row],[Driver]],0)</f>
        <v>27</v>
      </c>
      <c r="C34" s="23" t="str">
        <f>_xlfn.XLOOKUP(A34,Constructor!$C$2:$C$23,Constructor!$B$2:$B$23,"")</f>
        <v>Audi</v>
      </c>
      <c r="D34" s="23" t="str">
        <f>_xlfn.XLOOKUP(A34,Constructor!$C$2:$C$23,Constructor!$A$2:$A$23,"")</f>
        <v>Germany Audi Revolut F1 Team</v>
      </c>
      <c r="E34" s="26" t="s">
        <v>173</v>
      </c>
    </row>
    <row r="35" spans="1:5" ht="14.4" x14ac:dyDescent="0.3">
      <c r="A35" s="33" t="s">
        <v>117</v>
      </c>
      <c r="B35" s="25" cm="1">
        <f t="array" ref="B35">_xlfn._xlws.FILTER(Drivers!D:D,Drivers!B:B=Table6[[#This Row],[Driver]],0)</f>
        <v>11</v>
      </c>
      <c r="C35" s="23" t="str">
        <f>_xlfn.XLOOKUP(A35,Constructor!$C$2:$C$23,Constructor!$B$2:$B$23,"")</f>
        <v>Cadillac-Ferrari</v>
      </c>
      <c r="D35" s="23" t="str">
        <f>_xlfn.XLOOKUP(A35,Constructor!$C$2:$C$23,Constructor!$A$2:$A$23,"")</f>
        <v>United States Cadillac Formula 1 Team</v>
      </c>
      <c r="E35" s="26" t="s">
        <v>183</v>
      </c>
    </row>
    <row r="36" spans="1:5" ht="14.4" x14ac:dyDescent="0.3">
      <c r="A36" s="33" t="s">
        <v>121</v>
      </c>
      <c r="B36" s="25" cm="1">
        <f t="array" ref="B36">_xlfn._xlws.FILTER(Drivers!D:D,Drivers!B:B=Table6[[#This Row],[Driver]],0)</f>
        <v>77</v>
      </c>
      <c r="C36" s="23" t="str">
        <f>_xlfn.XLOOKUP(A36,Constructor!$C$2:$C$23,Constructor!$B$2:$B$23,"")</f>
        <v>Cadillac-Ferrari</v>
      </c>
      <c r="D36" s="23" t="str">
        <f>_xlfn.XLOOKUP(A36,Constructor!$C$2:$C$23,Constructor!$A$2:$A$23,"")</f>
        <v>United States Cadillac Formula 1 Team</v>
      </c>
      <c r="E36" s="26" t="s">
        <v>185</v>
      </c>
    </row>
    <row r="37" spans="1:5" ht="14.4" x14ac:dyDescent="0.3">
      <c r="A37" s="33" t="s">
        <v>21</v>
      </c>
      <c r="B37" s="25" cm="1">
        <f t="array" ref="B37">_xlfn._xlws.FILTER(Drivers!D:D,Drivers!B:B=Table6[[#This Row],[Driver]],0)</f>
        <v>16</v>
      </c>
      <c r="C37" s="23" t="str">
        <f>_xlfn.XLOOKUP(A37,Constructor!$C$2:$C$23,Constructor!$B$2:$B$23,"")</f>
        <v>Ferrari</v>
      </c>
      <c r="D37" s="23" t="str">
        <f>_xlfn.XLOOKUP(A37,Constructor!$C$2:$C$23,Constructor!$A$2:$A$23,"")</f>
        <v>Italy Scuderia Ferrari HP</v>
      </c>
      <c r="E37" s="26" t="s">
        <v>177</v>
      </c>
    </row>
    <row r="38" spans="1:5" ht="14.4" x14ac:dyDescent="0.3">
      <c r="A38" s="33" t="s">
        <v>22</v>
      </c>
      <c r="B38" s="25" cm="1">
        <f t="array" ref="B38">_xlfn._xlws.FILTER(Drivers!D:D,Drivers!B:B=Table6[[#This Row],[Driver]],0)</f>
        <v>44</v>
      </c>
      <c r="C38" s="23" t="str">
        <f>_xlfn.XLOOKUP(A38,Constructor!$C$2:$C$23,Constructor!$B$2:$B$23,"")</f>
        <v>Ferrari</v>
      </c>
      <c r="D38" s="23" t="str">
        <f>_xlfn.XLOOKUP(A38,Constructor!$C$2:$C$23,Constructor!$A$2:$A$23,"")</f>
        <v>Italy Scuderia Ferrari HP</v>
      </c>
      <c r="E38" s="26" t="s">
        <v>178</v>
      </c>
    </row>
    <row r="39" spans="1:5" ht="14.4" x14ac:dyDescent="0.3">
      <c r="A39" s="33" t="s">
        <v>23</v>
      </c>
      <c r="B39" s="25" cm="1">
        <f t="array" ref="B39">_xlfn._xlws.FILTER(Drivers!D:D,Drivers!B:B=Table6[[#This Row],[Driver]],0)</f>
        <v>31</v>
      </c>
      <c r="C39" s="23" t="str">
        <f>_xlfn.XLOOKUP(A39,Constructor!$C$2:$C$23,Constructor!$B$2:$B$23,"")</f>
        <v>Haas-Ferrari</v>
      </c>
      <c r="D39" s="23" t="str">
        <f>_xlfn.XLOOKUP(A39,Constructor!$C$2:$C$23,Constructor!$A$2:$A$23,"")</f>
        <v>United States TGR Haas F1 Team</v>
      </c>
      <c r="E39" s="26" t="s">
        <v>181</v>
      </c>
    </row>
    <row r="40" spans="1:5" ht="14.4" x14ac:dyDescent="0.3">
      <c r="A40" s="33" t="s">
        <v>24</v>
      </c>
      <c r="B40" s="25" cm="1">
        <f t="array" ref="B40">_xlfn._xlws.FILTER(Drivers!D:D,Drivers!B:B=Table6[[#This Row],[Driver]],0)</f>
        <v>87</v>
      </c>
      <c r="C40" s="23" t="str">
        <f>_xlfn.XLOOKUP(A40,Constructor!$C$2:$C$23,Constructor!$B$2:$B$23,"")</f>
        <v>Haas-Ferrari</v>
      </c>
      <c r="D40" s="23" t="str">
        <f>_xlfn.XLOOKUP(A40,Constructor!$C$2:$C$23,Constructor!$A$2:$A$23,"")</f>
        <v>United States TGR Haas F1 Team</v>
      </c>
      <c r="E40" s="26" t="s">
        <v>181</v>
      </c>
    </row>
    <row r="41" spans="1:5" ht="14.4" x14ac:dyDescent="0.3">
      <c r="A41" s="33" t="s">
        <v>27</v>
      </c>
      <c r="B41" s="25" cm="1">
        <f t="array" ref="B41">_xlfn._xlws.FILTER(Drivers!D:D,Drivers!B:B=Table6[[#This Row],[Driver]],0)</f>
        <v>1</v>
      </c>
      <c r="C41" s="23" t="str">
        <f>_xlfn.XLOOKUP(A41,Constructor!$C$2:$C$23,Constructor!$B$2:$B$23,"")</f>
        <v>McLaren-Mercedes</v>
      </c>
      <c r="D41" s="23" t="str">
        <f>_xlfn.XLOOKUP(A41,Constructor!$C$2:$C$23,Constructor!$A$2:$A$23,"")</f>
        <v>United Kingdom McLaren Mastercard F1 Team</v>
      </c>
      <c r="E41" s="26" t="s">
        <v>179</v>
      </c>
    </row>
    <row r="42" spans="1:5" ht="14.4" x14ac:dyDescent="0.3">
      <c r="A42" s="33" t="s">
        <v>28</v>
      </c>
      <c r="B42" s="25" cm="1">
        <f t="array" ref="B42">_xlfn._xlws.FILTER(Drivers!D:D,Drivers!B:B=Table6[[#This Row],[Driver]],0)</f>
        <v>81</v>
      </c>
      <c r="C42" s="23" t="str">
        <f>_xlfn.XLOOKUP(A42,Constructor!$C$2:$C$23,Constructor!$B$2:$B$23,"")</f>
        <v>McLaren-Mercedes</v>
      </c>
      <c r="D42" s="23" t="str">
        <f>_xlfn.XLOOKUP(A42,Constructor!$C$2:$C$23,Constructor!$A$2:$A$23,"")</f>
        <v>United Kingdom McLaren Mastercard F1 Team</v>
      </c>
      <c r="E42" s="26" t="s">
        <v>173</v>
      </c>
    </row>
    <row r="43" spans="1:5" ht="14.4" x14ac:dyDescent="0.3">
      <c r="A43" s="33" t="s">
        <v>118</v>
      </c>
      <c r="B43" s="25" cm="1">
        <f t="array" ref="B43">_xlfn._xlws.FILTER(Drivers!D:D,Drivers!B:B=Table6[[#This Row],[Driver]],0)</f>
        <v>12</v>
      </c>
      <c r="C43" s="23" t="str">
        <f>_xlfn.XLOOKUP(A43,Constructor!$C$2:$C$23,Constructor!$B$2:$B$23,"")</f>
        <v>Mercedes</v>
      </c>
      <c r="D43" s="23" t="str">
        <f>_xlfn.XLOOKUP(A43,Constructor!$C$2:$C$23,Constructor!$A$2:$A$23,"")</f>
        <v>Germany Mercedes-AMG Petronas F1 Team</v>
      </c>
      <c r="E43" s="26" t="s">
        <v>176</v>
      </c>
    </row>
    <row r="44" spans="1:5" ht="14.4" x14ac:dyDescent="0.3">
      <c r="A44" s="33" t="s">
        <v>29</v>
      </c>
      <c r="B44" s="25" cm="1">
        <f t="array" ref="B44">_xlfn._xlws.FILTER(Drivers!D:D,Drivers!B:B=Table6[[#This Row],[Driver]],0)</f>
        <v>63</v>
      </c>
      <c r="C44" s="23" t="str">
        <f>_xlfn.XLOOKUP(A44,Constructor!$C$2:$C$23,Constructor!$B$2:$B$23,"")</f>
        <v>Mercedes</v>
      </c>
      <c r="D44" s="23" t="str">
        <f>_xlfn.XLOOKUP(A44,Constructor!$C$2:$C$23,Constructor!$A$2:$A$23,"")</f>
        <v>Germany Mercedes-AMG Petronas F1 Team</v>
      </c>
      <c r="E44" s="26">
        <v>5.7717604166666672E-2</v>
      </c>
    </row>
    <row r="45" spans="1:5" ht="14.4" x14ac:dyDescent="0.3">
      <c r="A45" s="33" t="s">
        <v>32</v>
      </c>
      <c r="B45" s="25" cm="1">
        <f t="array" ref="B45">_xlfn._xlws.FILTER(Drivers!D:D,Drivers!B:B=Table6[[#This Row],[Driver]],0)</f>
        <v>30</v>
      </c>
      <c r="C45" s="23" t="str">
        <f>_xlfn.XLOOKUP(A45,Constructor!$C$2:$C$23,Constructor!$B$2:$B$23,"")</f>
        <v>Racing Bulls-Red Bull Ford</v>
      </c>
      <c r="D45" s="23" t="str">
        <f>_xlfn.XLOOKUP(A45,Constructor!$C$2:$C$23,Constructor!$A$2:$A$23,"")</f>
        <v>Italy Visa Cash App Racing Bulls F1 Team</v>
      </c>
      <c r="E45" s="26" t="s">
        <v>181</v>
      </c>
    </row>
    <row r="46" spans="1:5" ht="14.4" x14ac:dyDescent="0.3">
      <c r="A46" s="33" t="s">
        <v>119</v>
      </c>
      <c r="B46" s="25" cm="1">
        <f t="array" ref="B46">_xlfn._xlws.FILTER(Drivers!D:D,Drivers!B:B=Table6[[#This Row],[Driver]],0)</f>
        <v>41</v>
      </c>
      <c r="C46" s="23" t="str">
        <f>_xlfn.XLOOKUP(A46,Constructor!$C$2:$C$23,Constructor!$B$2:$B$23,"")</f>
        <v>Racing Bulls-Red Bull Ford</v>
      </c>
      <c r="D46" s="23" t="str">
        <f>_xlfn.XLOOKUP(A46,Constructor!$C$2:$C$23,Constructor!$A$2:$A$23,"")</f>
        <v>Italy Visa Cash App Racing Bulls F1 Team</v>
      </c>
      <c r="E46" s="26" t="s">
        <v>181</v>
      </c>
    </row>
    <row r="47" spans="1:5" ht="14.4" x14ac:dyDescent="0.3">
      <c r="A47" s="33" t="s">
        <v>31</v>
      </c>
      <c r="B47" s="25" cm="1">
        <f t="array" ref="B47">_xlfn._xlws.FILTER(Drivers!D:D,Drivers!B:B=Table6[[#This Row],[Driver]],0)</f>
        <v>3</v>
      </c>
      <c r="C47" s="23" t="str">
        <f>_xlfn.XLOOKUP(A47,Constructor!$C$2:$C$23,Constructor!$B$2:$B$23,"")</f>
        <v>Red Bull Racing-Red Bull Ford</v>
      </c>
      <c r="D47" s="23" t="str">
        <f>_xlfn.XLOOKUP(A47,Constructor!$C$2:$C$23,Constructor!$A$2:$A$23,"")</f>
        <v>Austria Oracle Red Bull Racing</v>
      </c>
      <c r="E47" s="26" t="s">
        <v>180</v>
      </c>
    </row>
    <row r="48" spans="1:5" ht="14.4" x14ac:dyDescent="0.3">
      <c r="A48" s="33" t="s">
        <v>30</v>
      </c>
      <c r="B48" s="25" cm="1">
        <f t="array" ref="B48">_xlfn._xlws.FILTER(Drivers!D:D,Drivers!B:B=Table6[[#This Row],[Driver]],0)</f>
        <v>6</v>
      </c>
      <c r="C48" s="23" t="str">
        <f>_xlfn.XLOOKUP(A48,Constructor!$C$2:$C$23,Constructor!$B$2:$B$23,"")</f>
        <v>Red Bull Racing-Red Bull Ford</v>
      </c>
      <c r="D48" s="23" t="str">
        <f>_xlfn.XLOOKUP(A48,Constructor!$C$2:$C$23,Constructor!$A$2:$A$23,"")</f>
        <v>Austria Oracle Red Bull Racing</v>
      </c>
      <c r="E48" s="26" t="s">
        <v>185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0D22-4AED-4FA9-9F75-8A10C02E241C}">
  <dimension ref="A1:AA23"/>
  <sheetViews>
    <sheetView workbookViewId="0">
      <pane xSplit="2" ySplit="1" topLeftCell="C2" activePane="bottomRight" state="frozen"/>
      <selection pane="topRight" activeCell="E1" sqref="E1"/>
      <selection pane="bottomLeft" activeCell="A3" sqref="A3"/>
      <selection pane="bottomRight" activeCell="K14" sqref="K14"/>
    </sheetView>
  </sheetViews>
  <sheetFormatPr defaultRowHeight="14.4" x14ac:dyDescent="0.3"/>
  <cols>
    <col min="1" max="1" width="29.33203125" style="3" bestFit="1" customWidth="1"/>
    <col min="2" max="2" width="26.6640625" style="3" bestFit="1" customWidth="1"/>
    <col min="3" max="26" width="5.6640625" style="4" customWidth="1"/>
    <col min="27" max="27" width="8.88671875" style="4"/>
    <col min="28" max="16384" width="8.88671875" style="3"/>
  </cols>
  <sheetData>
    <row r="1" spans="1:27" ht="130.19999999999999" x14ac:dyDescent="0.3">
      <c r="A1" s="16" t="s">
        <v>9</v>
      </c>
      <c r="B1" s="16" t="s">
        <v>13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  <c r="N1" s="5" t="s">
        <v>97</v>
      </c>
      <c r="O1" s="5" t="s">
        <v>98</v>
      </c>
      <c r="P1" s="5" t="s">
        <v>99</v>
      </c>
      <c r="Q1" s="5" t="s">
        <v>100</v>
      </c>
      <c r="R1" s="5" t="s">
        <v>101</v>
      </c>
      <c r="S1" s="5" t="s">
        <v>102</v>
      </c>
      <c r="T1" s="5" t="s">
        <v>103</v>
      </c>
      <c r="U1" s="5" t="s">
        <v>104</v>
      </c>
      <c r="V1" s="5" t="s">
        <v>105</v>
      </c>
      <c r="W1" s="5" t="s">
        <v>106</v>
      </c>
      <c r="X1" s="5" t="s">
        <v>107</v>
      </c>
      <c r="Y1" s="5" t="s">
        <v>108</v>
      </c>
      <c r="Z1" s="5" t="s">
        <v>109</v>
      </c>
      <c r="AA1" s="6"/>
    </row>
    <row r="2" spans="1:27" x14ac:dyDescent="0.3">
      <c r="A2" s="19" t="s">
        <v>18</v>
      </c>
      <c r="B2" s="23" t="str">
        <f>_xlfn.XLOOKUP(A2,Constructor!$C$2:$C$23,Constructor!$B$2:$B$23,"")</f>
        <v>Alpine-Mercedes</v>
      </c>
    </row>
    <row r="3" spans="1:27" x14ac:dyDescent="0.3">
      <c r="A3" s="19" t="s">
        <v>120</v>
      </c>
      <c r="B3" s="23" t="str">
        <f>_xlfn.XLOOKUP(A3,Constructor!$C$2:$C$23,Constructor!$B$2:$B$23,"")</f>
        <v>Alpine-Mercedes</v>
      </c>
    </row>
    <row r="4" spans="1:27" x14ac:dyDescent="0.3">
      <c r="A4" s="19" t="s">
        <v>19</v>
      </c>
      <c r="B4" s="23" t="str">
        <f>_xlfn.XLOOKUP(A4,Constructor!$C$2:$C$23,Constructor!$B$2:$B$23,"")</f>
        <v>Aston Martin Aramco-Honda</v>
      </c>
    </row>
    <row r="5" spans="1:27" x14ac:dyDescent="0.3">
      <c r="A5" s="19" t="s">
        <v>20</v>
      </c>
      <c r="B5" s="23" t="str">
        <f>_xlfn.XLOOKUP(A5,Constructor!$C$2:$C$23,Constructor!$B$2:$B$23,"")</f>
        <v>Aston Martin Aramco-Honda</v>
      </c>
    </row>
    <row r="6" spans="1:27" x14ac:dyDescent="0.3">
      <c r="A6" s="19" t="s">
        <v>33</v>
      </c>
      <c r="B6" s="23" t="str">
        <f>_xlfn.XLOOKUP(A6,Constructor!$C$2:$C$23,Constructor!$B$2:$B$23,"")</f>
        <v>Atlassian Williams-Mercedes</v>
      </c>
    </row>
    <row r="7" spans="1:27" x14ac:dyDescent="0.3">
      <c r="A7" s="19" t="s">
        <v>34</v>
      </c>
      <c r="B7" s="23" t="str">
        <f>_xlfn.XLOOKUP(A7,Constructor!$C$2:$C$23,Constructor!$B$2:$B$23,"")</f>
        <v>Atlassian Williams-Mercedes</v>
      </c>
    </row>
    <row r="8" spans="1:27" x14ac:dyDescent="0.3">
      <c r="A8" s="19" t="s">
        <v>25</v>
      </c>
      <c r="B8" s="23" t="str">
        <f>_xlfn.XLOOKUP(A8,Constructor!$C$2:$C$23,Constructor!$B$2:$B$23,"")</f>
        <v>Audi</v>
      </c>
    </row>
    <row r="9" spans="1:27" x14ac:dyDescent="0.3">
      <c r="A9" s="19" t="s">
        <v>26</v>
      </c>
      <c r="B9" s="23" t="str">
        <f>_xlfn.XLOOKUP(A9,Constructor!$C$2:$C$23,Constructor!$B$2:$B$23,"")</f>
        <v>Audi</v>
      </c>
    </row>
    <row r="10" spans="1:27" x14ac:dyDescent="0.3">
      <c r="A10" s="19" t="s">
        <v>117</v>
      </c>
      <c r="B10" s="23" t="str">
        <f>_xlfn.XLOOKUP(A10,Constructor!$C$2:$C$23,Constructor!$B$2:$B$23,"")</f>
        <v>Cadillac-Ferrari</v>
      </c>
    </row>
    <row r="11" spans="1:27" x14ac:dyDescent="0.3">
      <c r="A11" s="19" t="s">
        <v>121</v>
      </c>
      <c r="B11" s="23" t="str">
        <f>_xlfn.XLOOKUP(A11,Constructor!$C$2:$C$23,Constructor!$B$2:$B$23,"")</f>
        <v>Cadillac-Ferrari</v>
      </c>
    </row>
    <row r="12" spans="1:27" x14ac:dyDescent="0.3">
      <c r="A12" s="19" t="s">
        <v>21</v>
      </c>
      <c r="B12" s="23" t="str">
        <f>_xlfn.XLOOKUP(A12,Constructor!$C$2:$C$23,Constructor!$B$2:$B$23,"")</f>
        <v>Ferrari</v>
      </c>
    </row>
    <row r="13" spans="1:27" x14ac:dyDescent="0.3">
      <c r="A13" s="19" t="s">
        <v>22</v>
      </c>
      <c r="B13" s="23" t="str">
        <f>_xlfn.XLOOKUP(A13,Constructor!$C$2:$C$23,Constructor!$B$2:$B$23,"")</f>
        <v>Ferrari</v>
      </c>
    </row>
    <row r="14" spans="1:27" x14ac:dyDescent="0.3">
      <c r="A14" s="19" t="s">
        <v>23</v>
      </c>
      <c r="B14" s="23" t="str">
        <f>_xlfn.XLOOKUP(A14,Constructor!$C$2:$C$23,Constructor!$B$2:$B$23,"")</f>
        <v>Haas-Ferrari</v>
      </c>
    </row>
    <row r="15" spans="1:27" x14ac:dyDescent="0.3">
      <c r="A15" s="19" t="s">
        <v>24</v>
      </c>
      <c r="B15" s="23" t="str">
        <f>_xlfn.XLOOKUP(A15,Constructor!$C$2:$C$23,Constructor!$B$2:$B$23,"")</f>
        <v>Haas-Ferrari</v>
      </c>
    </row>
    <row r="16" spans="1:27" x14ac:dyDescent="0.3">
      <c r="A16" s="19" t="s">
        <v>27</v>
      </c>
      <c r="B16" s="23" t="str">
        <f>_xlfn.XLOOKUP(A16,Constructor!$C$2:$C$23,Constructor!$B$2:$B$23,"")</f>
        <v>McLaren-Mercedes</v>
      </c>
    </row>
    <row r="17" spans="1:2" x14ac:dyDescent="0.3">
      <c r="A17" s="19" t="s">
        <v>28</v>
      </c>
      <c r="B17" s="23" t="str">
        <f>_xlfn.XLOOKUP(A17,Constructor!$C$2:$C$23,Constructor!$B$2:$B$23,"")</f>
        <v>McLaren-Mercedes</v>
      </c>
    </row>
    <row r="18" spans="1:2" x14ac:dyDescent="0.3">
      <c r="A18" s="19" t="s">
        <v>118</v>
      </c>
      <c r="B18" s="23" t="str">
        <f>_xlfn.XLOOKUP(A18,Constructor!$C$2:$C$23,Constructor!$B$2:$B$23,"")</f>
        <v>Mercedes</v>
      </c>
    </row>
    <row r="19" spans="1:2" x14ac:dyDescent="0.3">
      <c r="A19" s="19" t="s">
        <v>29</v>
      </c>
      <c r="B19" s="23" t="str">
        <f>_xlfn.XLOOKUP(A19,Constructor!$C$2:$C$23,Constructor!$B$2:$B$23,"")</f>
        <v>Mercedes</v>
      </c>
    </row>
    <row r="20" spans="1:2" x14ac:dyDescent="0.3">
      <c r="A20" s="19" t="s">
        <v>32</v>
      </c>
      <c r="B20" s="23" t="str">
        <f>_xlfn.XLOOKUP(A20,Constructor!$C$2:$C$23,Constructor!$B$2:$B$23,"")</f>
        <v>Racing Bulls-Red Bull Ford</v>
      </c>
    </row>
    <row r="21" spans="1:2" x14ac:dyDescent="0.3">
      <c r="A21" s="19" t="s">
        <v>119</v>
      </c>
      <c r="B21" s="23" t="str">
        <f>_xlfn.XLOOKUP(A21,Constructor!$C$2:$C$23,Constructor!$B$2:$B$23,"")</f>
        <v>Racing Bulls-Red Bull Ford</v>
      </c>
    </row>
    <row r="22" spans="1:2" x14ac:dyDescent="0.3">
      <c r="A22" s="19" t="s">
        <v>31</v>
      </c>
      <c r="B22" s="23" t="str">
        <f>_xlfn.XLOOKUP(A22,Constructor!$C$2:$C$23,Constructor!$B$2:$B$23,"")</f>
        <v>Red Bull Racing-Red Bull Ford</v>
      </c>
    </row>
    <row r="23" spans="1:2" x14ac:dyDescent="0.3">
      <c r="A23" s="19" t="s">
        <v>30</v>
      </c>
      <c r="B23" s="23" t="str">
        <f>_xlfn.XLOOKUP(A23,Constructor!$C$2:$C$23,Constructor!$B$2:$B$23,"")</f>
        <v>Red Bull Racing-Red Bull Ford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72A-9925-4137-B5F7-198FBD97FF72}">
  <dimension ref="A1:N51"/>
  <sheetViews>
    <sheetView workbookViewId="0">
      <selection activeCell="B32" sqref="B32"/>
    </sheetView>
  </sheetViews>
  <sheetFormatPr defaultRowHeight="14.4" x14ac:dyDescent="0.3"/>
  <cols>
    <col min="1" max="1" width="41.88671875" style="3" bestFit="1" customWidth="1"/>
    <col min="2" max="2" width="26.6640625" style="3" bestFit="1" customWidth="1"/>
    <col min="3" max="3" width="29.33203125" style="3" bestFit="1" customWidth="1"/>
    <col min="4" max="4" width="21.109375" style="3" bestFit="1" customWidth="1"/>
    <col min="5" max="5" width="9.44140625" style="3" bestFit="1" customWidth="1"/>
    <col min="6" max="6" width="25.44140625" style="3" customWidth="1"/>
    <col min="7" max="7" width="8.88671875" style="3"/>
    <col min="8" max="8" width="18.88671875" style="3" customWidth="1"/>
    <col min="9" max="9" width="23.33203125" style="3" customWidth="1"/>
    <col min="10" max="10" width="35.6640625" style="3" customWidth="1"/>
    <col min="11" max="16384" width="8.88671875" style="3"/>
  </cols>
  <sheetData>
    <row r="1" spans="1:14" x14ac:dyDescent="0.3">
      <c r="A1" s="1" t="s">
        <v>10</v>
      </c>
      <c r="B1" s="1" t="s">
        <v>13</v>
      </c>
      <c r="C1" s="1" t="s">
        <v>9</v>
      </c>
      <c r="D1" s="1" t="s">
        <v>11</v>
      </c>
      <c r="E1" s="1" t="s">
        <v>12</v>
      </c>
      <c r="G1" s="19"/>
      <c r="H1" s="19"/>
      <c r="I1" s="19"/>
      <c r="J1" s="19"/>
      <c r="K1" s="19"/>
      <c r="L1" s="19"/>
      <c r="M1" s="2"/>
      <c r="N1" s="2"/>
    </row>
    <row r="2" spans="1:14" x14ac:dyDescent="0.3">
      <c r="A2" s="3" t="str">
        <f>_xlfn.XLOOKUP(C2,Drivers!$B$2:$B$23,Drivers!$C$2:$C$23,"")</f>
        <v>France BWT Alpine F1 Team</v>
      </c>
      <c r="B2" s="3" t="str">
        <f>_xlfn.XLOOKUP(C2,Drivers!$B$2:$B$23,Drivers!$F$2:$F$23,"")</f>
        <v>Alpine-Mercedes</v>
      </c>
      <c r="C2" s="19" t="s">
        <v>18</v>
      </c>
      <c r="D2" s="19" t="s">
        <v>132</v>
      </c>
      <c r="E2" s="19" t="s">
        <v>131</v>
      </c>
      <c r="G2" s="19"/>
      <c r="H2" s="19"/>
      <c r="I2" s="19"/>
      <c r="J2" s="19"/>
      <c r="K2" s="19"/>
      <c r="L2" s="19"/>
      <c r="M2" s="4"/>
      <c r="N2" s="4"/>
    </row>
    <row r="3" spans="1:14" x14ac:dyDescent="0.3">
      <c r="A3" s="3" t="str">
        <f>_xlfn.XLOOKUP(C3,Drivers!$B$2:$B$23,Drivers!$C$2:$C$23,"")</f>
        <v>France BWT Alpine F1 Team</v>
      </c>
      <c r="B3" s="3" t="str">
        <f>_xlfn.XLOOKUP(C3,Drivers!$B$2:$B$23,Drivers!$F$2:$F$23,"")</f>
        <v>Alpine-Mercedes</v>
      </c>
      <c r="C3" s="19" t="s">
        <v>120</v>
      </c>
      <c r="D3" s="19" t="s">
        <v>132</v>
      </c>
      <c r="E3" s="19" t="s">
        <v>131</v>
      </c>
      <c r="G3" s="19"/>
      <c r="H3" s="19"/>
      <c r="I3" s="19"/>
      <c r="J3" s="19"/>
      <c r="K3" s="19"/>
      <c r="L3" s="19"/>
      <c r="M3" s="4"/>
      <c r="N3" s="4"/>
    </row>
    <row r="4" spans="1:14" x14ac:dyDescent="0.3">
      <c r="A4" s="3" t="str">
        <f>_xlfn.XLOOKUP(C4,Drivers!$B$2:$B$23,Drivers!$C$2:$C$23,"")</f>
        <v>United Kingdom Aston Martin Aramco F1 Team</v>
      </c>
      <c r="B4" s="3" t="str">
        <f>_xlfn.XLOOKUP(C4,Drivers!$B$2:$B$23,Drivers!$F$2:$F$23,"")</f>
        <v>Aston Martin Aramco-Honda</v>
      </c>
      <c r="C4" s="19" t="s">
        <v>19</v>
      </c>
      <c r="D4" s="19" t="s">
        <v>135</v>
      </c>
      <c r="E4" s="19" t="s">
        <v>134</v>
      </c>
      <c r="G4" s="19"/>
      <c r="H4" s="19"/>
      <c r="I4" s="19"/>
      <c r="J4" s="19"/>
      <c r="K4" s="19"/>
      <c r="L4" s="19"/>
      <c r="M4" s="4"/>
      <c r="N4" s="4"/>
    </row>
    <row r="5" spans="1:14" x14ac:dyDescent="0.3">
      <c r="A5" s="3" t="str">
        <f>_xlfn.XLOOKUP(C5,Drivers!$B$2:$B$23,Drivers!$C$2:$C$23,"")</f>
        <v>United Kingdom Aston Martin Aramco F1 Team</v>
      </c>
      <c r="B5" s="3" t="str">
        <f>_xlfn.XLOOKUP(C5,Drivers!$B$2:$B$23,Drivers!$F$2:$F$23,"")</f>
        <v>Aston Martin Aramco-Honda</v>
      </c>
      <c r="C5" s="19" t="s">
        <v>20</v>
      </c>
      <c r="D5" s="19" t="s">
        <v>135</v>
      </c>
      <c r="E5" s="19" t="s">
        <v>134</v>
      </c>
      <c r="G5" s="19"/>
      <c r="H5" s="19"/>
      <c r="I5" s="19"/>
      <c r="J5" s="19"/>
      <c r="K5" s="19"/>
      <c r="L5" s="19"/>
      <c r="M5" s="4"/>
      <c r="N5" s="4"/>
    </row>
    <row r="6" spans="1:14" x14ac:dyDescent="0.3">
      <c r="A6" s="3" t="str">
        <f>_xlfn.XLOOKUP(C6,Drivers!$B$2:$B$23,Drivers!$C$2:$C$23,"")</f>
        <v>United Kingdom Atlassian Williams F1 Team</v>
      </c>
      <c r="B6" s="3" t="str">
        <f>_xlfn.XLOOKUP(C6,Drivers!$B$2:$B$23,Drivers!$F$2:$F$23,"")</f>
        <v>Atlassian Williams-Mercedes</v>
      </c>
      <c r="C6" s="19" t="s">
        <v>33</v>
      </c>
      <c r="D6" s="19" t="s">
        <v>132</v>
      </c>
      <c r="E6" s="19" t="s">
        <v>137</v>
      </c>
      <c r="G6" s="19"/>
      <c r="H6" s="19"/>
      <c r="I6" s="19"/>
      <c r="J6" s="19"/>
      <c r="K6" s="19"/>
      <c r="L6" s="19"/>
      <c r="M6" s="4"/>
      <c r="N6" s="4"/>
    </row>
    <row r="7" spans="1:14" x14ac:dyDescent="0.3">
      <c r="A7" s="3" t="str">
        <f>_xlfn.XLOOKUP(C7,Drivers!$B$2:$B$23,Drivers!$C$2:$C$23,"")</f>
        <v>United Kingdom Atlassian Williams F1 Team</v>
      </c>
      <c r="B7" s="3" t="str">
        <f>_xlfn.XLOOKUP(C7,Drivers!$B$2:$B$23,Drivers!$F$2:$F$23,"")</f>
        <v>Atlassian Williams-Mercedes</v>
      </c>
      <c r="C7" s="19" t="s">
        <v>34</v>
      </c>
      <c r="D7" s="19" t="s">
        <v>132</v>
      </c>
      <c r="E7" s="19" t="s">
        <v>137</v>
      </c>
      <c r="G7" s="19"/>
      <c r="H7" s="19"/>
      <c r="I7" s="19"/>
      <c r="J7" s="19"/>
      <c r="K7" s="19"/>
      <c r="L7" s="19"/>
      <c r="M7" s="4"/>
      <c r="N7" s="4"/>
    </row>
    <row r="8" spans="1:14" x14ac:dyDescent="0.3">
      <c r="A8" s="3" t="str">
        <f>_xlfn.XLOOKUP(C8,Drivers!$B$2:$B$23,Drivers!$C$2:$C$23,"")</f>
        <v>Germany Audi Revolut F1 Team</v>
      </c>
      <c r="B8" s="3" t="str">
        <f>_xlfn.XLOOKUP(C8,Drivers!$B$2:$B$23,Drivers!$F$2:$F$23,"")</f>
        <v>Audi</v>
      </c>
      <c r="C8" s="19" t="s">
        <v>25</v>
      </c>
      <c r="D8" s="19" t="s">
        <v>140</v>
      </c>
      <c r="E8" s="19" t="s">
        <v>139</v>
      </c>
      <c r="G8" s="19"/>
      <c r="H8" s="19"/>
      <c r="I8" s="19"/>
      <c r="J8" s="19"/>
      <c r="K8" s="19"/>
      <c r="L8" s="19"/>
      <c r="M8" s="4"/>
      <c r="N8" s="4"/>
    </row>
    <row r="9" spans="1:14" x14ac:dyDescent="0.3">
      <c r="A9" s="3" t="str">
        <f>_xlfn.XLOOKUP(C9,Drivers!$B$2:$B$23,Drivers!$C$2:$C$23,"")</f>
        <v>Germany Audi Revolut F1 Team</v>
      </c>
      <c r="B9" s="3" t="str">
        <f>_xlfn.XLOOKUP(C9,Drivers!$B$2:$B$23,Drivers!$F$2:$F$23,"")</f>
        <v>Audi</v>
      </c>
      <c r="C9" s="19" t="s">
        <v>26</v>
      </c>
      <c r="D9" s="19" t="s">
        <v>140</v>
      </c>
      <c r="E9" s="19" t="s">
        <v>139</v>
      </c>
      <c r="G9" s="19"/>
      <c r="H9" s="19"/>
      <c r="I9" s="19"/>
      <c r="J9" s="19"/>
      <c r="K9" s="19"/>
      <c r="L9" s="19"/>
      <c r="M9" s="4"/>
      <c r="N9" s="4"/>
    </row>
    <row r="10" spans="1:14" x14ac:dyDescent="0.3">
      <c r="A10" s="3" t="str">
        <f>_xlfn.XLOOKUP(C10,Drivers!$B$2:$B$23,Drivers!$C$2:$C$23,"")</f>
        <v>United States Cadillac Formula 1 Team</v>
      </c>
      <c r="B10" s="3" t="str">
        <f>_xlfn.XLOOKUP(C10,Drivers!$B$2:$B$23,Drivers!$F$2:$F$23,"")</f>
        <v>Cadillac-Ferrari</v>
      </c>
      <c r="C10" s="19" t="s">
        <v>117</v>
      </c>
      <c r="D10" s="19" t="s">
        <v>143</v>
      </c>
      <c r="E10" s="19" t="s">
        <v>142</v>
      </c>
      <c r="G10" s="19"/>
      <c r="H10" s="19"/>
      <c r="I10" s="19"/>
      <c r="J10" s="19"/>
      <c r="K10" s="19"/>
      <c r="L10" s="19"/>
      <c r="M10" s="4"/>
      <c r="N10" s="4"/>
    </row>
    <row r="11" spans="1:14" x14ac:dyDescent="0.3">
      <c r="A11" s="3" t="str">
        <f>_xlfn.XLOOKUP(C11,Drivers!$B$2:$B$23,Drivers!$C$2:$C$23,"")</f>
        <v>United States Cadillac Formula 1 Team</v>
      </c>
      <c r="B11" s="3" t="str">
        <f>_xlfn.XLOOKUP(C11,Drivers!$B$2:$B$23,Drivers!$F$2:$F$23,"")</f>
        <v>Cadillac-Ferrari</v>
      </c>
      <c r="C11" s="19" t="s">
        <v>121</v>
      </c>
      <c r="D11" s="19" t="s">
        <v>143</v>
      </c>
      <c r="E11" s="19" t="s">
        <v>142</v>
      </c>
      <c r="G11" s="19"/>
      <c r="H11" s="19"/>
      <c r="I11" s="19"/>
      <c r="J11" s="19"/>
      <c r="K11" s="19"/>
      <c r="L11" s="19"/>
      <c r="M11" s="4"/>
      <c r="N11" s="4"/>
    </row>
    <row r="12" spans="1:14" x14ac:dyDescent="0.3">
      <c r="A12" s="3" t="str">
        <f>_xlfn.XLOOKUP(C12,Drivers!$B$2:$B$23,Drivers!$C$2:$C$23,"")</f>
        <v>Italy Scuderia Ferrari HP</v>
      </c>
      <c r="B12" s="3" t="str">
        <f>_xlfn.XLOOKUP(C12,Drivers!$B$2:$B$23,Drivers!$F$2:$F$23,"")</f>
        <v>Ferrari</v>
      </c>
      <c r="C12" s="19" t="s">
        <v>21</v>
      </c>
      <c r="D12" s="19" t="s">
        <v>143</v>
      </c>
      <c r="E12" s="19" t="s">
        <v>145</v>
      </c>
      <c r="G12" s="19"/>
      <c r="H12" s="19"/>
      <c r="I12" s="19"/>
      <c r="J12" s="19"/>
      <c r="K12" s="19"/>
      <c r="L12" s="19"/>
      <c r="M12" s="4"/>
      <c r="N12" s="4"/>
    </row>
    <row r="13" spans="1:14" x14ac:dyDescent="0.3">
      <c r="A13" s="3" t="str">
        <f>_xlfn.XLOOKUP(C13,Drivers!$B$2:$B$23,Drivers!$C$2:$C$23,"")</f>
        <v>Italy Scuderia Ferrari HP</v>
      </c>
      <c r="B13" s="3" t="str">
        <f>_xlfn.XLOOKUP(C13,Drivers!$B$2:$B$23,Drivers!$F$2:$F$23,"")</f>
        <v>Ferrari</v>
      </c>
      <c r="C13" s="19" t="s">
        <v>22</v>
      </c>
      <c r="D13" s="19" t="s">
        <v>143</v>
      </c>
      <c r="E13" s="19" t="s">
        <v>145</v>
      </c>
      <c r="G13" s="19"/>
      <c r="H13" s="19"/>
      <c r="I13" s="19"/>
      <c r="J13" s="19"/>
      <c r="K13" s="19"/>
      <c r="L13" s="19"/>
      <c r="M13" s="4"/>
      <c r="N13" s="4"/>
    </row>
    <row r="14" spans="1:14" x14ac:dyDescent="0.3">
      <c r="A14" s="3" t="str">
        <f>_xlfn.XLOOKUP(C14,Drivers!$B$2:$B$23,Drivers!$C$2:$C$23,"")</f>
        <v>United States TGR Haas F1 Team</v>
      </c>
      <c r="B14" s="3" t="str">
        <f>_xlfn.XLOOKUP(C14,Drivers!$B$2:$B$23,Drivers!$F$2:$F$23,"")</f>
        <v>Haas-Ferrari</v>
      </c>
      <c r="C14" s="19" t="s">
        <v>23</v>
      </c>
      <c r="D14" s="19" t="s">
        <v>143</v>
      </c>
      <c r="E14" s="19" t="s">
        <v>147</v>
      </c>
      <c r="G14" s="19"/>
      <c r="H14" s="19"/>
      <c r="I14" s="19"/>
      <c r="J14" s="19"/>
      <c r="K14" s="19"/>
      <c r="L14" s="19"/>
      <c r="M14" s="4"/>
      <c r="N14" s="4"/>
    </row>
    <row r="15" spans="1:14" x14ac:dyDescent="0.3">
      <c r="A15" s="3" t="str">
        <f>_xlfn.XLOOKUP(C15,Drivers!$B$2:$B$23,Drivers!$C$2:$C$23,"")</f>
        <v>United States TGR Haas F1 Team</v>
      </c>
      <c r="B15" s="3" t="str">
        <f>_xlfn.XLOOKUP(C15,Drivers!$B$2:$B$23,Drivers!$F$2:$F$23,"")</f>
        <v>Haas-Ferrari</v>
      </c>
      <c r="C15" s="19" t="s">
        <v>24</v>
      </c>
      <c r="D15" s="19" t="s">
        <v>143</v>
      </c>
      <c r="E15" s="19" t="s">
        <v>147</v>
      </c>
      <c r="G15" s="19"/>
      <c r="H15" s="19"/>
      <c r="I15" s="19"/>
      <c r="J15" s="19"/>
      <c r="K15" s="19"/>
      <c r="L15" s="19"/>
      <c r="M15" s="4"/>
      <c r="N15" s="4"/>
    </row>
    <row r="16" spans="1:14" x14ac:dyDescent="0.3">
      <c r="A16" s="3" t="str">
        <f>_xlfn.XLOOKUP(C16,Drivers!$B$2:$B$23,Drivers!$C$2:$C$23,"")</f>
        <v>United Kingdom McLaren Mastercard F1 Team</v>
      </c>
      <c r="B16" s="3" t="str">
        <f>_xlfn.XLOOKUP(C16,Drivers!$B$2:$B$23,Drivers!$F$2:$F$23,"")</f>
        <v>McLaren-Mercedes</v>
      </c>
      <c r="C16" s="19" t="s">
        <v>27</v>
      </c>
      <c r="D16" s="19" t="s">
        <v>132</v>
      </c>
      <c r="E16" s="19" t="s">
        <v>149</v>
      </c>
      <c r="G16" s="19"/>
      <c r="H16" s="19"/>
      <c r="I16" s="19"/>
      <c r="J16" s="19"/>
      <c r="K16" s="19"/>
      <c r="L16" s="19"/>
      <c r="M16" s="4"/>
      <c r="N16" s="4"/>
    </row>
    <row r="17" spans="1:14" x14ac:dyDescent="0.3">
      <c r="A17" s="3" t="str">
        <f>_xlfn.XLOOKUP(C17,Drivers!$B$2:$B$23,Drivers!$C$2:$C$23,"")</f>
        <v>United Kingdom McLaren Mastercard F1 Team</v>
      </c>
      <c r="B17" s="3" t="str">
        <f>_xlfn.XLOOKUP(C17,Drivers!$B$2:$B$23,Drivers!$F$2:$F$23,"")</f>
        <v>McLaren-Mercedes</v>
      </c>
      <c r="C17" s="19" t="s">
        <v>28</v>
      </c>
      <c r="D17" s="19" t="s">
        <v>132</v>
      </c>
      <c r="E17" s="19" t="s">
        <v>149</v>
      </c>
      <c r="G17" s="19"/>
      <c r="H17" s="19"/>
      <c r="I17" s="19"/>
      <c r="J17" s="19"/>
      <c r="K17" s="19"/>
      <c r="L17" s="19"/>
      <c r="M17" s="4"/>
      <c r="N17" s="4"/>
    </row>
    <row r="18" spans="1:14" x14ac:dyDescent="0.3">
      <c r="A18" s="3" t="str">
        <f>_xlfn.XLOOKUP(C18,Drivers!$B$2:$B$23,Drivers!$C$2:$C$23,"")</f>
        <v>Germany Mercedes-AMG Petronas F1 Team</v>
      </c>
      <c r="B18" s="3" t="str">
        <f>_xlfn.XLOOKUP(C18,Drivers!$B$2:$B$23,Drivers!$F$2:$F$23,"")</f>
        <v>Mercedes</v>
      </c>
      <c r="C18" s="19" t="s">
        <v>118</v>
      </c>
      <c r="D18" s="19" t="s">
        <v>132</v>
      </c>
      <c r="E18" s="19" t="s">
        <v>151</v>
      </c>
      <c r="G18" s="19"/>
      <c r="H18" s="19"/>
      <c r="I18" s="19"/>
      <c r="J18" s="19"/>
      <c r="K18" s="19"/>
      <c r="L18" s="19"/>
      <c r="M18" s="4"/>
      <c r="N18" s="4"/>
    </row>
    <row r="19" spans="1:14" x14ac:dyDescent="0.3">
      <c r="A19" s="3" t="str">
        <f>_xlfn.XLOOKUP(C19,Drivers!$B$2:$B$23,Drivers!$C$2:$C$23,"")</f>
        <v>Germany Mercedes-AMG Petronas F1 Team</v>
      </c>
      <c r="B19" s="3" t="str">
        <f>_xlfn.XLOOKUP(C19,Drivers!$B$2:$B$23,Drivers!$F$2:$F$23,"")</f>
        <v>Mercedes</v>
      </c>
      <c r="C19" s="19" t="s">
        <v>29</v>
      </c>
      <c r="D19" s="19" t="s">
        <v>132</v>
      </c>
      <c r="E19" s="19" t="s">
        <v>151</v>
      </c>
      <c r="G19" s="19"/>
      <c r="H19" s="19"/>
      <c r="I19" s="19"/>
      <c r="J19" s="19"/>
      <c r="K19" s="19"/>
      <c r="L19" s="19"/>
      <c r="M19" s="4"/>
      <c r="N19" s="4"/>
    </row>
    <row r="20" spans="1:14" x14ac:dyDescent="0.3">
      <c r="A20" s="3" t="str">
        <f>_xlfn.XLOOKUP(C20,Drivers!$B$2:$B$23,Drivers!$C$2:$C$23,"")</f>
        <v>Italy Visa Cash App Racing Bulls F1 Team</v>
      </c>
      <c r="B20" s="3" t="str">
        <f>_xlfn.XLOOKUP(C20,Drivers!$B$2:$B$23,Drivers!$F$2:$F$23,"")</f>
        <v>Racing Bulls-Red Bull Ford</v>
      </c>
      <c r="C20" s="19" t="s">
        <v>32</v>
      </c>
      <c r="D20" s="19" t="s">
        <v>154</v>
      </c>
      <c r="E20" s="19" t="s">
        <v>153</v>
      </c>
      <c r="G20" s="19"/>
      <c r="H20" s="19"/>
      <c r="I20" s="19"/>
      <c r="J20" s="19"/>
      <c r="K20" s="19"/>
      <c r="L20" s="19"/>
      <c r="M20" s="4"/>
      <c r="N20" s="4"/>
    </row>
    <row r="21" spans="1:14" x14ac:dyDescent="0.3">
      <c r="A21" s="3" t="str">
        <f>_xlfn.XLOOKUP(C21,Drivers!$B$2:$B$23,Drivers!$C$2:$C$23,"")</f>
        <v>Italy Visa Cash App Racing Bulls F1 Team</v>
      </c>
      <c r="B21" s="3" t="str">
        <f>_xlfn.XLOOKUP(C21,Drivers!$B$2:$B$23,Drivers!$F$2:$F$23,"")</f>
        <v>Racing Bulls-Red Bull Ford</v>
      </c>
      <c r="C21" s="19" t="s">
        <v>119</v>
      </c>
      <c r="D21" s="19" t="s">
        <v>154</v>
      </c>
      <c r="E21" s="19" t="s">
        <v>153</v>
      </c>
      <c r="G21" s="19"/>
      <c r="H21" s="19"/>
      <c r="I21" s="19"/>
      <c r="J21" s="19"/>
      <c r="K21" s="19"/>
      <c r="L21" s="19"/>
      <c r="M21" s="4"/>
      <c r="N21" s="4"/>
    </row>
    <row r="22" spans="1:14" x14ac:dyDescent="0.3">
      <c r="A22" s="3" t="str">
        <f>_xlfn.XLOOKUP(C22,Drivers!$B$2:$B$23,Drivers!$C$2:$C$23,"")</f>
        <v>Austria Oracle Red Bull Racing</v>
      </c>
      <c r="B22" s="3" t="str">
        <f>_xlfn.XLOOKUP(C22,Drivers!$B$2:$B$23,Drivers!$F$2:$F$23,"")</f>
        <v>Red Bull Racing-Red Bull Ford</v>
      </c>
      <c r="C22" s="19" t="s">
        <v>31</v>
      </c>
      <c r="D22" s="19" t="s">
        <v>157</v>
      </c>
      <c r="E22" s="19" t="s">
        <v>156</v>
      </c>
      <c r="G22" s="19"/>
      <c r="H22" s="19"/>
      <c r="I22" s="19"/>
      <c r="J22" s="19"/>
      <c r="K22" s="19"/>
      <c r="L22" s="19"/>
      <c r="M22" s="4"/>
      <c r="N22" s="4"/>
    </row>
    <row r="23" spans="1:14" x14ac:dyDescent="0.3">
      <c r="A23" s="3" t="str">
        <f>_xlfn.XLOOKUP(C23,Drivers!$B$2:$B$23,Drivers!$C$2:$C$23,"")</f>
        <v>Austria Oracle Red Bull Racing</v>
      </c>
      <c r="B23" s="3" t="str">
        <f>_xlfn.XLOOKUP(C23,Drivers!$B$2:$B$23,Drivers!$F$2:$F$23,"")</f>
        <v>Red Bull Racing-Red Bull Ford</v>
      </c>
      <c r="C23" s="19" t="s">
        <v>30</v>
      </c>
      <c r="D23" s="19" t="s">
        <v>157</v>
      </c>
      <c r="E23" s="19" t="s">
        <v>156</v>
      </c>
      <c r="G23" s="19"/>
      <c r="H23" s="19"/>
      <c r="I23" s="19"/>
      <c r="J23" s="19"/>
      <c r="K23" s="19"/>
      <c r="L23" s="19"/>
      <c r="M23" s="4"/>
      <c r="N23" s="4"/>
    </row>
    <row r="24" spans="1:14" x14ac:dyDescent="0.3">
      <c r="G24" s="19"/>
      <c r="H24" s="19"/>
      <c r="I24" s="19"/>
      <c r="J24" s="19"/>
      <c r="K24" s="19"/>
      <c r="L24" s="19"/>
      <c r="M24" s="4"/>
      <c r="N24" s="4"/>
    </row>
    <row r="28" spans="1:14" x14ac:dyDescent="0.3">
      <c r="G28" s="19"/>
    </row>
    <row r="29" spans="1:14" x14ac:dyDescent="0.3">
      <c r="G29" s="19"/>
    </row>
    <row r="30" spans="1:14" x14ac:dyDescent="0.3">
      <c r="G30" s="19"/>
    </row>
    <row r="31" spans="1:14" x14ac:dyDescent="0.3">
      <c r="G31" s="19"/>
    </row>
    <row r="32" spans="1:14" x14ac:dyDescent="0.3">
      <c r="G32" s="19"/>
    </row>
    <row r="33" spans="7:7" x14ac:dyDescent="0.3">
      <c r="G33" s="19"/>
    </row>
    <row r="34" spans="7:7" x14ac:dyDescent="0.3">
      <c r="G34" s="19"/>
    </row>
    <row r="35" spans="7:7" x14ac:dyDescent="0.3">
      <c r="G35" s="19"/>
    </row>
    <row r="36" spans="7:7" x14ac:dyDescent="0.3">
      <c r="G36" s="19"/>
    </row>
    <row r="37" spans="7:7" x14ac:dyDescent="0.3">
      <c r="G37" s="19"/>
    </row>
    <row r="38" spans="7:7" x14ac:dyDescent="0.3">
      <c r="G38" s="19"/>
    </row>
    <row r="39" spans="7:7" x14ac:dyDescent="0.3">
      <c r="G39" s="19"/>
    </row>
    <row r="40" spans="7:7" x14ac:dyDescent="0.3">
      <c r="G40" s="19"/>
    </row>
    <row r="41" spans="7:7" x14ac:dyDescent="0.3">
      <c r="G41" s="19"/>
    </row>
    <row r="42" spans="7:7" x14ac:dyDescent="0.3">
      <c r="G42" s="19"/>
    </row>
    <row r="43" spans="7:7" x14ac:dyDescent="0.3">
      <c r="G43" s="19"/>
    </row>
    <row r="44" spans="7:7" x14ac:dyDescent="0.3">
      <c r="G44" s="19"/>
    </row>
    <row r="45" spans="7:7" x14ac:dyDescent="0.3">
      <c r="G45" s="19"/>
    </row>
    <row r="46" spans="7:7" x14ac:dyDescent="0.3">
      <c r="G46" s="19"/>
    </row>
    <row r="47" spans="7:7" x14ac:dyDescent="0.3">
      <c r="G47" s="19"/>
    </row>
    <row r="48" spans="7:7" x14ac:dyDescent="0.3">
      <c r="G48" s="19"/>
    </row>
    <row r="49" spans="7:7" x14ac:dyDescent="0.3">
      <c r="G49" s="19"/>
    </row>
    <row r="50" spans="7:7" x14ac:dyDescent="0.3">
      <c r="G50" s="19"/>
    </row>
    <row r="51" spans="7:7" x14ac:dyDescent="0.3">
      <c r="G51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Drivers</vt:lpstr>
      <vt:lpstr>Track_Details</vt:lpstr>
      <vt:lpstr>Track_Log</vt:lpstr>
      <vt:lpstr>Times</vt:lpstr>
      <vt:lpstr>Constructor_Log</vt:lpstr>
      <vt:lpstr>Constructor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Vyan</dc:creator>
  <cp:lastModifiedBy>Vyan Persad (Unicomer Trinidad)</cp:lastModifiedBy>
  <dcterms:created xsi:type="dcterms:W3CDTF">2015-06-05T18:17:20Z</dcterms:created>
  <dcterms:modified xsi:type="dcterms:W3CDTF">2026-03-15T02:54:28Z</dcterms:modified>
</cp:coreProperties>
</file>